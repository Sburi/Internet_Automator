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tables/table2.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mc:AlternateContent xmlns:mc="http://schemas.openxmlformats.org/markup-compatibility/2006">
    <mc:Choice Requires="x15">
      <x15ac:absPath xmlns:x15ac="http://schemas.microsoft.com/office/spreadsheetml/2010/11/ac" url="C:\Users\431165\Documents\Z_MyResources\T_Excel\InternetAutomator\"/>
    </mc:Choice>
  </mc:AlternateContent>
  <bookViews>
    <workbookView xWindow="0" yWindow="0" windowWidth="28800" windowHeight="12600" tabRatio="548" activeTab="1"/>
  </bookViews>
  <sheets>
    <sheet name="TemplateCode" sheetId="23" r:id="rId1"/>
    <sheet name="MacroCreation" sheetId="14" r:id="rId2"/>
  </sheets>
  <definedNames>
    <definedName name="Compiler">"Graphic 7,Oval 19"</definedName>
    <definedName name="ExternalData_1" localSheetId="0" hidden="1">TemplateCode!$A$1:$D$11</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N67" i="14" l="1"/>
  <c r="BK67" i="14"/>
  <c r="BH67" i="14"/>
  <c r="BE67" i="14"/>
  <c r="BC67" i="14"/>
  <c r="AJ67" i="14"/>
  <c r="AK67" i="14" s="1"/>
  <c r="AM67" i="14" s="1"/>
  <c r="AO67" i="14" s="1"/>
  <c r="AF67" i="14"/>
  <c r="AA67" i="14"/>
  <c r="AG67" i="14" s="1"/>
  <c r="Z67" i="14"/>
  <c r="X67" i="14"/>
  <c r="AC67" i="14" s="1"/>
  <c r="W67" i="14"/>
  <c r="AI67" i="14" s="1"/>
  <c r="U67" i="14"/>
  <c r="AD67" i="14" s="1"/>
  <c r="S67" i="14"/>
  <c r="L67" i="14"/>
  <c r="H67" i="14"/>
  <c r="V67" i="14" s="1"/>
  <c r="D67" i="14"/>
  <c r="C67" i="14"/>
  <c r="F67" i="14" s="1"/>
  <c r="I67" i="14" s="1"/>
  <c r="K67" i="14" s="1"/>
  <c r="M67" i="14" s="1"/>
  <c r="O67" i="14" s="1"/>
  <c r="Q67" i="14" s="1"/>
  <c r="R67" i="14" s="1"/>
  <c r="BN66" i="14"/>
  <c r="BK66" i="14"/>
  <c r="BH66" i="14"/>
  <c r="BE66" i="14"/>
  <c r="BF66" i="14" s="1"/>
  <c r="BC66" i="14"/>
  <c r="AK66" i="14"/>
  <c r="AM66" i="14" s="1"/>
  <c r="AO66" i="14" s="1"/>
  <c r="AJ66" i="14"/>
  <c r="AF66" i="14"/>
  <c r="AA66" i="14"/>
  <c r="AG66" i="14" s="1"/>
  <c r="Z66" i="14"/>
  <c r="X66" i="14"/>
  <c r="AC66" i="14" s="1"/>
  <c r="W66" i="14"/>
  <c r="AI66" i="14" s="1"/>
  <c r="U66" i="14"/>
  <c r="S66" i="14"/>
  <c r="L66" i="14"/>
  <c r="H66" i="14"/>
  <c r="V66" i="14" s="1"/>
  <c r="D66" i="14"/>
  <c r="C66" i="14"/>
  <c r="F66" i="14" s="1"/>
  <c r="I66" i="14" s="1"/>
  <c r="K66" i="14" s="1"/>
  <c r="M66" i="14" s="1"/>
  <c r="O66" i="14" s="1"/>
  <c r="Q66" i="14" s="1"/>
  <c r="R66" i="14" s="1"/>
  <c r="BN65" i="14"/>
  <c r="BK65" i="14"/>
  <c r="BH65" i="14"/>
  <c r="BE65" i="14"/>
  <c r="BC65" i="14"/>
  <c r="AJ65" i="14"/>
  <c r="AK65" i="14" s="1"/>
  <c r="AM65" i="14" s="1"/>
  <c r="AO65" i="14" s="1"/>
  <c r="AF65" i="14"/>
  <c r="AA65" i="14"/>
  <c r="AG65" i="14" s="1"/>
  <c r="Z65" i="14"/>
  <c r="X65" i="14"/>
  <c r="AC65" i="14" s="1"/>
  <c r="W65" i="14"/>
  <c r="AI65" i="14" s="1"/>
  <c r="U65" i="14"/>
  <c r="AD65" i="14" s="1"/>
  <c r="S65" i="14"/>
  <c r="L65" i="14"/>
  <c r="H65" i="14"/>
  <c r="V65" i="14" s="1"/>
  <c r="D65" i="14"/>
  <c r="C65" i="14"/>
  <c r="F65" i="14" s="1"/>
  <c r="I65" i="14" s="1"/>
  <c r="K65" i="14" s="1"/>
  <c r="M65" i="14" s="1"/>
  <c r="O65" i="14" s="1"/>
  <c r="Q65" i="14" s="1"/>
  <c r="R65" i="14" s="1"/>
  <c r="BN64" i="14"/>
  <c r="BK64" i="14"/>
  <c r="BH64" i="14"/>
  <c r="BE64" i="14"/>
  <c r="BC64" i="14"/>
  <c r="AK64" i="14"/>
  <c r="AM64" i="14" s="1"/>
  <c r="AO64" i="14" s="1"/>
  <c r="AJ64" i="14"/>
  <c r="AG64" i="14"/>
  <c r="AF64" i="14"/>
  <c r="AA64" i="14"/>
  <c r="Z64" i="14"/>
  <c r="X64" i="14"/>
  <c r="AC64" i="14" s="1"/>
  <c r="W64" i="14"/>
  <c r="AI64" i="14" s="1"/>
  <c r="U64" i="14"/>
  <c r="S64" i="14"/>
  <c r="L64" i="14"/>
  <c r="H64" i="14"/>
  <c r="V64" i="14" s="1"/>
  <c r="D64" i="14"/>
  <c r="C64" i="14"/>
  <c r="F64" i="14" s="1"/>
  <c r="I64" i="14" s="1"/>
  <c r="K64" i="14" s="1"/>
  <c r="M64" i="14" s="1"/>
  <c r="O64" i="14" s="1"/>
  <c r="Q64" i="14" s="1"/>
  <c r="R64" i="14" s="1"/>
  <c r="BN63" i="14"/>
  <c r="BK63" i="14"/>
  <c r="BH63" i="14"/>
  <c r="BE63" i="14"/>
  <c r="BC63" i="14"/>
  <c r="AJ63" i="14"/>
  <c r="AK63" i="14" s="1"/>
  <c r="AM63" i="14" s="1"/>
  <c r="AO63" i="14" s="1"/>
  <c r="AF63" i="14"/>
  <c r="AA63" i="14"/>
  <c r="AG63" i="14" s="1"/>
  <c r="Z63" i="14"/>
  <c r="X63" i="14"/>
  <c r="AC63" i="14" s="1"/>
  <c r="W63" i="14"/>
  <c r="AI63" i="14" s="1"/>
  <c r="U63" i="14"/>
  <c r="AD63" i="14" s="1"/>
  <c r="S63" i="14"/>
  <c r="L63" i="14"/>
  <c r="H63" i="14"/>
  <c r="V63" i="14" s="1"/>
  <c r="D63" i="14"/>
  <c r="C63" i="14"/>
  <c r="F63" i="14" s="1"/>
  <c r="I63" i="14" s="1"/>
  <c r="K63" i="14" s="1"/>
  <c r="M63" i="14" s="1"/>
  <c r="O63" i="14" s="1"/>
  <c r="Q63" i="14" s="1"/>
  <c r="R63" i="14" s="1"/>
  <c r="BN62" i="14"/>
  <c r="BK62" i="14"/>
  <c r="BH62" i="14"/>
  <c r="BE62" i="14"/>
  <c r="BF62" i="14" s="1"/>
  <c r="BC62" i="14"/>
  <c r="AK62" i="14"/>
  <c r="AM62" i="14" s="1"/>
  <c r="AO62" i="14" s="1"/>
  <c r="AJ62" i="14"/>
  <c r="AF62" i="14"/>
  <c r="AA62" i="14"/>
  <c r="AG62" i="14" s="1"/>
  <c r="Z62" i="14"/>
  <c r="X62" i="14"/>
  <c r="AC62" i="14" s="1"/>
  <c r="W62" i="14"/>
  <c r="AI62" i="14" s="1"/>
  <c r="U62" i="14"/>
  <c r="S62" i="14"/>
  <c r="L62" i="14"/>
  <c r="H62" i="14"/>
  <c r="V62" i="14" s="1"/>
  <c r="D62" i="14"/>
  <c r="C62" i="14"/>
  <c r="F62" i="14" s="1"/>
  <c r="I62" i="14" s="1"/>
  <c r="K62" i="14" s="1"/>
  <c r="M62" i="14" s="1"/>
  <c r="O62" i="14" s="1"/>
  <c r="Q62" i="14" s="1"/>
  <c r="R62" i="14" s="1"/>
  <c r="BN61" i="14"/>
  <c r="BK61" i="14"/>
  <c r="BH61" i="14"/>
  <c r="BE61" i="14"/>
  <c r="BC61" i="14"/>
  <c r="AJ61" i="14"/>
  <c r="AK61" i="14" s="1"/>
  <c r="AM61" i="14" s="1"/>
  <c r="AO61" i="14" s="1"/>
  <c r="AF61" i="14"/>
  <c r="AA61" i="14"/>
  <c r="AG61" i="14" s="1"/>
  <c r="Z61" i="14"/>
  <c r="X61" i="14"/>
  <c r="AC61" i="14" s="1"/>
  <c r="W61" i="14"/>
  <c r="AI61" i="14" s="1"/>
  <c r="U61" i="14"/>
  <c r="AD61" i="14" s="1"/>
  <c r="S61" i="14"/>
  <c r="L61" i="14"/>
  <c r="H61" i="14"/>
  <c r="V61" i="14" s="1"/>
  <c r="D61" i="14"/>
  <c r="C61" i="14"/>
  <c r="F61" i="14" s="1"/>
  <c r="I61" i="14" s="1"/>
  <c r="K61" i="14" s="1"/>
  <c r="M61" i="14" s="1"/>
  <c r="O61" i="14" s="1"/>
  <c r="Q61" i="14" s="1"/>
  <c r="R61" i="14" s="1"/>
  <c r="BN60" i="14"/>
  <c r="BO60" i="14" s="1"/>
  <c r="BK60" i="14"/>
  <c r="BH60" i="14"/>
  <c r="BI60" i="14" s="1"/>
  <c r="BL60" i="14" s="1"/>
  <c r="BE60" i="14"/>
  <c r="BC60" i="14"/>
  <c r="BF60" i="14" s="1"/>
  <c r="AJ60" i="14"/>
  <c r="AK60" i="14" s="1"/>
  <c r="AM60" i="14" s="1"/>
  <c r="AO60" i="14" s="1"/>
  <c r="Z60" i="14"/>
  <c r="AF60" i="14" s="1"/>
  <c r="T60" i="14"/>
  <c r="L60" i="14"/>
  <c r="H60" i="14"/>
  <c r="D60" i="14"/>
  <c r="C60" i="14"/>
  <c r="F60" i="14" s="1"/>
  <c r="BN59" i="14"/>
  <c r="BK59" i="14"/>
  <c r="BH59" i="14"/>
  <c r="BF59" i="14"/>
  <c r="BI59" i="14" s="1"/>
  <c r="BL59" i="14" s="1"/>
  <c r="BO59" i="14" s="1"/>
  <c r="BE59" i="14"/>
  <c r="BC59" i="14"/>
  <c r="AJ59" i="14"/>
  <c r="AK59" i="14" s="1"/>
  <c r="AM59" i="14" s="1"/>
  <c r="AO59" i="14" s="1"/>
  <c r="AH59" i="14"/>
  <c r="AA59" i="14"/>
  <c r="AG59" i="14" s="1"/>
  <c r="Z59" i="14"/>
  <c r="AF59" i="14" s="1"/>
  <c r="V59" i="14"/>
  <c r="T59" i="14"/>
  <c r="L59" i="14"/>
  <c r="H59" i="14"/>
  <c r="F59" i="14"/>
  <c r="D59" i="14"/>
  <c r="C59" i="14"/>
  <c r="BN58" i="14"/>
  <c r="BK58" i="14"/>
  <c r="BH58" i="14"/>
  <c r="BF58" i="14"/>
  <c r="BE58" i="14"/>
  <c r="BC58" i="14"/>
  <c r="AM58" i="14"/>
  <c r="AO58" i="14" s="1"/>
  <c r="AJ58" i="14"/>
  <c r="AK58" i="14" s="1"/>
  <c r="AF58" i="14"/>
  <c r="Z58" i="14"/>
  <c r="X58" i="14"/>
  <c r="AC58" i="14" s="1"/>
  <c r="L58" i="14"/>
  <c r="H58" i="14"/>
  <c r="D58" i="14"/>
  <c r="C58" i="14"/>
  <c r="F58" i="14" s="1"/>
  <c r="I58" i="14" s="1"/>
  <c r="K58" i="14" s="1"/>
  <c r="BN57" i="14"/>
  <c r="BK57" i="14"/>
  <c r="BI57" i="14"/>
  <c r="BL57" i="14" s="1"/>
  <c r="BO57" i="14" s="1"/>
  <c r="BH57" i="14"/>
  <c r="BE57" i="14"/>
  <c r="BC57" i="14"/>
  <c r="BF57" i="14" s="1"/>
  <c r="AO57" i="14"/>
  <c r="AJ57" i="14"/>
  <c r="AK57" i="14" s="1"/>
  <c r="AM57" i="14" s="1"/>
  <c r="AI57" i="14"/>
  <c r="Z57" i="14"/>
  <c r="AF57" i="14" s="1"/>
  <c r="X57" i="14"/>
  <c r="AC57" i="14" s="1"/>
  <c r="W57" i="14"/>
  <c r="T57" i="14"/>
  <c r="S57" i="14"/>
  <c r="L57" i="14"/>
  <c r="H57" i="14"/>
  <c r="D57" i="14"/>
  <c r="C57" i="14"/>
  <c r="F57" i="14" s="1"/>
  <c r="I57" i="14" s="1"/>
  <c r="K57" i="14" s="1"/>
  <c r="BN56" i="14"/>
  <c r="BO56" i="14" s="1"/>
  <c r="BK56" i="14"/>
  <c r="BI56" i="14"/>
  <c r="BL56" i="14" s="1"/>
  <c r="BH56" i="14"/>
  <c r="BE56" i="14"/>
  <c r="BC56" i="14"/>
  <c r="BF56" i="14" s="1"/>
  <c r="AJ56" i="14"/>
  <c r="AK56" i="14" s="1"/>
  <c r="AM56" i="14" s="1"/>
  <c r="AO56" i="14" s="1"/>
  <c r="Z56" i="14"/>
  <c r="AF56" i="14" s="1"/>
  <c r="X56" i="14"/>
  <c r="AC56" i="14" s="1"/>
  <c r="V56" i="14"/>
  <c r="L56" i="14"/>
  <c r="H56" i="14"/>
  <c r="D56" i="14"/>
  <c r="C56" i="14"/>
  <c r="F56" i="14" s="1"/>
  <c r="BO55" i="14"/>
  <c r="BN55" i="14"/>
  <c r="BK55" i="14"/>
  <c r="BI55" i="14"/>
  <c r="BL55" i="14" s="1"/>
  <c r="BH55" i="14"/>
  <c r="BE55" i="14"/>
  <c r="BC55" i="14"/>
  <c r="BF55" i="14" s="1"/>
  <c r="AM55" i="14"/>
  <c r="AO55" i="14" s="1"/>
  <c r="AJ55" i="14"/>
  <c r="AK55" i="14" s="1"/>
  <c r="Z55" i="14"/>
  <c r="AF55" i="14" s="1"/>
  <c r="L55" i="14"/>
  <c r="H55" i="14"/>
  <c r="D55" i="14"/>
  <c r="C55" i="14"/>
  <c r="F55" i="14" s="1"/>
  <c r="I55" i="14" s="1"/>
  <c r="K55" i="14" s="1"/>
  <c r="M55" i="14" s="1"/>
  <c r="O55" i="14" s="1"/>
  <c r="Q55" i="14" s="1"/>
  <c r="R55" i="14" s="1"/>
  <c r="BN54" i="14"/>
  <c r="BK54" i="14"/>
  <c r="BH54" i="14"/>
  <c r="BF54" i="14"/>
  <c r="BE54" i="14"/>
  <c r="BC54" i="14"/>
  <c r="AO54" i="14"/>
  <c r="AM54" i="14"/>
  <c r="AJ54" i="14"/>
  <c r="AK54" i="14" s="1"/>
  <c r="AF54" i="14"/>
  <c r="AA54" i="14"/>
  <c r="AG54" i="14" s="1"/>
  <c r="Z54" i="14"/>
  <c r="W54" i="14"/>
  <c r="AI54" i="14" s="1"/>
  <c r="V54" i="14"/>
  <c r="L54" i="14"/>
  <c r="H54" i="14"/>
  <c r="D54" i="14"/>
  <c r="C54" i="14"/>
  <c r="F54" i="14" s="1"/>
  <c r="BN53" i="14"/>
  <c r="BK53" i="14"/>
  <c r="BH53" i="14"/>
  <c r="BF53" i="14"/>
  <c r="BE53" i="14"/>
  <c r="BC53" i="14"/>
  <c r="AJ53" i="14"/>
  <c r="AK53" i="14" s="1"/>
  <c r="AM53" i="14" s="1"/>
  <c r="AO53" i="14" s="1"/>
  <c r="AI53" i="14"/>
  <c r="Z53" i="14"/>
  <c r="AF53" i="14" s="1"/>
  <c r="X53" i="14"/>
  <c r="AC53" i="14" s="1"/>
  <c r="W53" i="14"/>
  <c r="T53" i="14"/>
  <c r="S53" i="14"/>
  <c r="L53" i="14"/>
  <c r="H53" i="14"/>
  <c r="D53" i="14"/>
  <c r="C53" i="14"/>
  <c r="F53" i="14" s="1"/>
  <c r="I53" i="14" s="1"/>
  <c r="K53" i="14" s="1"/>
  <c r="M53" i="14" s="1"/>
  <c r="O53" i="14" s="1"/>
  <c r="Q53" i="14" s="1"/>
  <c r="R53" i="14" s="1"/>
  <c r="BO52" i="14"/>
  <c r="BN52" i="14"/>
  <c r="BK52" i="14"/>
  <c r="BH52" i="14"/>
  <c r="BI52" i="14" s="1"/>
  <c r="BL52" i="14" s="1"/>
  <c r="BE52" i="14"/>
  <c r="BC52" i="14"/>
  <c r="BF52" i="14" s="1"/>
  <c r="AJ52" i="14"/>
  <c r="AK52" i="14" s="1"/>
  <c r="AM52" i="14" s="1"/>
  <c r="AO52" i="14" s="1"/>
  <c r="AF52" i="14"/>
  <c r="AA52" i="14"/>
  <c r="AG52" i="14" s="1"/>
  <c r="Z52" i="14"/>
  <c r="V52" i="14"/>
  <c r="T52" i="14"/>
  <c r="S52" i="14"/>
  <c r="L52" i="14"/>
  <c r="H52" i="14"/>
  <c r="D52" i="14"/>
  <c r="C52" i="14"/>
  <c r="F52" i="14" s="1"/>
  <c r="I52" i="14" s="1"/>
  <c r="K52" i="14" s="1"/>
  <c r="BO51" i="14"/>
  <c r="BN51" i="14"/>
  <c r="BK51" i="14"/>
  <c r="BH51" i="14"/>
  <c r="BI51" i="14" s="1"/>
  <c r="BL51" i="14" s="1"/>
  <c r="BE51" i="14"/>
  <c r="BC51" i="14"/>
  <c r="BF51" i="14" s="1"/>
  <c r="AJ51" i="14"/>
  <c r="AK51" i="14" s="1"/>
  <c r="AM51" i="14" s="1"/>
  <c r="AO51" i="14" s="1"/>
  <c r="Z51" i="14"/>
  <c r="AF51" i="14" s="1"/>
  <c r="X51" i="14"/>
  <c r="AC51" i="14" s="1"/>
  <c r="T51" i="14"/>
  <c r="S51" i="14"/>
  <c r="L51" i="14"/>
  <c r="H51" i="14"/>
  <c r="D51" i="14"/>
  <c r="C51" i="14"/>
  <c r="F51" i="14" s="1"/>
  <c r="BN50" i="14"/>
  <c r="BK50" i="14"/>
  <c r="BH50" i="14"/>
  <c r="BE50" i="14"/>
  <c r="BC50" i="14"/>
  <c r="BF50" i="14" s="1"/>
  <c r="BI50" i="14" s="1"/>
  <c r="BL50" i="14" s="1"/>
  <c r="BO50" i="14" s="1"/>
  <c r="AJ50" i="14"/>
  <c r="AK50" i="14" s="1"/>
  <c r="AM50" i="14" s="1"/>
  <c r="AO50" i="14" s="1"/>
  <c r="AF50" i="14"/>
  <c r="Z50" i="14"/>
  <c r="L50" i="14"/>
  <c r="H50" i="14"/>
  <c r="D50" i="14"/>
  <c r="C50" i="14"/>
  <c r="F50" i="14" s="1"/>
  <c r="BN49" i="14"/>
  <c r="BK49" i="14"/>
  <c r="BH49" i="14"/>
  <c r="BF49" i="14"/>
  <c r="BE49" i="14"/>
  <c r="BC49" i="14"/>
  <c r="AM49" i="14"/>
  <c r="AO49" i="14" s="1"/>
  <c r="AJ49" i="14"/>
  <c r="AK49" i="14" s="1"/>
  <c r="AF49" i="14"/>
  <c r="Z49" i="14"/>
  <c r="L49" i="14"/>
  <c r="H49" i="14"/>
  <c r="D49" i="14"/>
  <c r="C49" i="14"/>
  <c r="F49" i="14" s="1"/>
  <c r="BN48" i="14"/>
  <c r="BK48" i="14"/>
  <c r="BH48" i="14"/>
  <c r="BF48" i="14"/>
  <c r="BE48" i="14"/>
  <c r="BC48" i="14"/>
  <c r="AJ48" i="14"/>
  <c r="AK48" i="14" s="1"/>
  <c r="AM48" i="14" s="1"/>
  <c r="AO48" i="14" s="1"/>
  <c r="AB48" i="14"/>
  <c r="Z48" i="14"/>
  <c r="AF48" i="14" s="1"/>
  <c r="X48" i="14"/>
  <c r="AC48" i="14" s="1"/>
  <c r="W48" i="14"/>
  <c r="AI48" i="14" s="1"/>
  <c r="T48" i="14"/>
  <c r="S48" i="14"/>
  <c r="L48" i="14"/>
  <c r="H48" i="14"/>
  <c r="D48" i="14"/>
  <c r="C48" i="14"/>
  <c r="F48" i="14" s="1"/>
  <c r="I48" i="14" s="1"/>
  <c r="K48" i="14" s="1"/>
  <c r="BN47" i="14"/>
  <c r="BK47" i="14"/>
  <c r="BI47" i="14"/>
  <c r="BL47" i="14" s="1"/>
  <c r="BO47" i="14" s="1"/>
  <c r="BH47" i="14"/>
  <c r="BE47" i="14"/>
  <c r="BC47" i="14"/>
  <c r="BF47" i="14" s="1"/>
  <c r="AJ47" i="14"/>
  <c r="AK47" i="14" s="1"/>
  <c r="AM47" i="14" s="1"/>
  <c r="AO47" i="14" s="1"/>
  <c r="Z47" i="14"/>
  <c r="AF47" i="14" s="1"/>
  <c r="X47" i="14"/>
  <c r="AC47" i="14" s="1"/>
  <c r="T47" i="14"/>
  <c r="S47" i="14"/>
  <c r="L47" i="14"/>
  <c r="H47" i="14"/>
  <c r="D47" i="14"/>
  <c r="C47" i="14"/>
  <c r="F47" i="14" s="1"/>
  <c r="BO46" i="14"/>
  <c r="BN46" i="14"/>
  <c r="BK46" i="14"/>
  <c r="BI46" i="14"/>
  <c r="BL46" i="14" s="1"/>
  <c r="BH46" i="14"/>
  <c r="BE46" i="14"/>
  <c r="BC46" i="14"/>
  <c r="BF46" i="14" s="1"/>
  <c r="AM46" i="14"/>
  <c r="AO46" i="14" s="1"/>
  <c r="AJ46" i="14"/>
  <c r="AK46" i="14" s="1"/>
  <c r="AA46" i="14"/>
  <c r="AG46" i="14" s="1"/>
  <c r="Z46" i="14"/>
  <c r="AF46" i="14" s="1"/>
  <c r="V46" i="14"/>
  <c r="L46" i="14"/>
  <c r="H46" i="14"/>
  <c r="D46" i="14"/>
  <c r="C46" i="14"/>
  <c r="F46" i="14" s="1"/>
  <c r="BN45" i="14"/>
  <c r="BK45" i="14"/>
  <c r="BH45" i="14"/>
  <c r="BF45" i="14"/>
  <c r="BE45" i="14"/>
  <c r="BC45" i="14"/>
  <c r="AO45" i="14"/>
  <c r="AM45" i="14"/>
  <c r="AJ45" i="14"/>
  <c r="AK45" i="14" s="1"/>
  <c r="AF45" i="14"/>
  <c r="Z45" i="14"/>
  <c r="L45" i="14"/>
  <c r="H45" i="14"/>
  <c r="D45" i="14"/>
  <c r="C45" i="14"/>
  <c r="F45" i="14" s="1"/>
  <c r="I45" i="14" s="1"/>
  <c r="K45" i="14" s="1"/>
  <c r="BN44" i="14"/>
  <c r="BK44" i="14"/>
  <c r="BH44" i="14"/>
  <c r="BF44" i="14"/>
  <c r="BE44" i="14"/>
  <c r="BC44" i="14"/>
  <c r="AO44" i="14"/>
  <c r="AJ44" i="14"/>
  <c r="AK44" i="14" s="1"/>
  <c r="AM44" i="14" s="1"/>
  <c r="AB44" i="14"/>
  <c r="Z44" i="14"/>
  <c r="AF44" i="14" s="1"/>
  <c r="X44" i="14"/>
  <c r="AC44" i="14" s="1"/>
  <c r="W44" i="14"/>
  <c r="AI44" i="14" s="1"/>
  <c r="T44" i="14"/>
  <c r="S44" i="14"/>
  <c r="L44" i="14"/>
  <c r="H44" i="14"/>
  <c r="D44" i="14"/>
  <c r="C44" i="14"/>
  <c r="F44" i="14" s="1"/>
  <c r="I44" i="14" s="1"/>
  <c r="K44" i="14" s="1"/>
  <c r="BN43" i="14"/>
  <c r="BK43" i="14"/>
  <c r="BH43" i="14"/>
  <c r="BE43" i="14"/>
  <c r="BC43" i="14"/>
  <c r="BF43" i="14" s="1"/>
  <c r="BI43" i="14" s="1"/>
  <c r="BL43" i="14" s="1"/>
  <c r="AJ43" i="14"/>
  <c r="AK43" i="14" s="1"/>
  <c r="AM43" i="14" s="1"/>
  <c r="AO43" i="14" s="1"/>
  <c r="AF43" i="14"/>
  <c r="Z43" i="14"/>
  <c r="X43" i="14"/>
  <c r="AC43" i="14" s="1"/>
  <c r="V43" i="14"/>
  <c r="L43" i="14"/>
  <c r="H43" i="14"/>
  <c r="F43" i="14"/>
  <c r="D43" i="14"/>
  <c r="C43" i="14"/>
  <c r="BO42" i="14"/>
  <c r="BN42" i="14"/>
  <c r="BK42" i="14"/>
  <c r="BI42" i="14"/>
  <c r="BL42" i="14" s="1"/>
  <c r="BH42" i="14"/>
  <c r="BE42" i="14"/>
  <c r="BC42" i="14"/>
  <c r="BF42" i="14" s="1"/>
  <c r="AO42" i="14"/>
  <c r="AM42" i="14"/>
  <c r="AJ42" i="14"/>
  <c r="AK42" i="14" s="1"/>
  <c r="Z42" i="14"/>
  <c r="AF42" i="14" s="1"/>
  <c r="L42" i="14"/>
  <c r="H42" i="14"/>
  <c r="W42" i="14" s="1"/>
  <c r="AI42" i="14" s="1"/>
  <c r="D42" i="14"/>
  <c r="C42" i="14"/>
  <c r="F42" i="14" s="1"/>
  <c r="BN41" i="14"/>
  <c r="BK41" i="14"/>
  <c r="BH41" i="14"/>
  <c r="BF41" i="14"/>
  <c r="BE41" i="14"/>
  <c r="BC41" i="14"/>
  <c r="AM41" i="14"/>
  <c r="AO41" i="14" s="1"/>
  <c r="AJ41" i="14"/>
  <c r="AK41" i="14" s="1"/>
  <c r="AF41" i="14"/>
  <c r="Z41" i="14"/>
  <c r="L41" i="14"/>
  <c r="H41" i="14"/>
  <c r="D41" i="14"/>
  <c r="C41" i="14"/>
  <c r="F41" i="14" s="1"/>
  <c r="BN40" i="14"/>
  <c r="BK40" i="14"/>
  <c r="BH40" i="14"/>
  <c r="BI40" i="14" s="1"/>
  <c r="BL40" i="14" s="1"/>
  <c r="BE40" i="14"/>
  <c r="BC40" i="14"/>
  <c r="BF40" i="14" s="1"/>
  <c r="AJ40" i="14"/>
  <c r="AK40" i="14" s="1"/>
  <c r="AM40" i="14" s="1"/>
  <c r="AO40" i="14" s="1"/>
  <c r="Z40" i="14"/>
  <c r="AF40" i="14" s="1"/>
  <c r="X40" i="14"/>
  <c r="AC40" i="14" s="1"/>
  <c r="W40" i="14"/>
  <c r="AI40" i="14" s="1"/>
  <c r="T40" i="14"/>
  <c r="S40" i="14"/>
  <c r="L40" i="14"/>
  <c r="H40" i="14"/>
  <c r="D40" i="14"/>
  <c r="C40" i="14"/>
  <c r="F40" i="14" s="1"/>
  <c r="I40" i="14" s="1"/>
  <c r="K40" i="14" s="1"/>
  <c r="M40" i="14" s="1"/>
  <c r="O40" i="14" s="1"/>
  <c r="Q40" i="14" s="1"/>
  <c r="R40" i="14" s="1"/>
  <c r="BN39" i="14"/>
  <c r="BK39" i="14"/>
  <c r="BH39" i="14"/>
  <c r="BI39" i="14" s="1"/>
  <c r="BL39" i="14" s="1"/>
  <c r="BO39" i="14" s="1"/>
  <c r="BE39" i="14"/>
  <c r="BC39" i="14"/>
  <c r="BF39" i="14" s="1"/>
  <c r="AM39" i="14"/>
  <c r="AO39" i="14" s="1"/>
  <c r="AJ39" i="14"/>
  <c r="AK39" i="14" s="1"/>
  <c r="AA39" i="14"/>
  <c r="AG39" i="14" s="1"/>
  <c r="Z39" i="14"/>
  <c r="AF39" i="14" s="1"/>
  <c r="X39" i="14"/>
  <c r="AC39" i="14" s="1"/>
  <c r="V39" i="14"/>
  <c r="T39" i="14"/>
  <c r="L39" i="14"/>
  <c r="H39" i="14"/>
  <c r="D39" i="14"/>
  <c r="C39" i="14"/>
  <c r="F39" i="14" s="1"/>
  <c r="BN38" i="14"/>
  <c r="BK38" i="14"/>
  <c r="BH38" i="14"/>
  <c r="BE38" i="14"/>
  <c r="BC38" i="14"/>
  <c r="BF38" i="14" s="1"/>
  <c r="BI38" i="14" s="1"/>
  <c r="BL38" i="14" s="1"/>
  <c r="BO38" i="14" s="1"/>
  <c r="AO38" i="14"/>
  <c r="AM38" i="14"/>
  <c r="AJ38" i="14"/>
  <c r="AK38" i="14" s="1"/>
  <c r="AF38" i="14"/>
  <c r="Z38" i="14"/>
  <c r="W38" i="14"/>
  <c r="AI38" i="14" s="1"/>
  <c r="V38" i="14"/>
  <c r="L38" i="14"/>
  <c r="H38" i="14"/>
  <c r="D38" i="14"/>
  <c r="C38" i="14"/>
  <c r="F38" i="14" s="1"/>
  <c r="I38" i="14" s="1"/>
  <c r="K38" i="14" s="1"/>
  <c r="M38" i="14" s="1"/>
  <c r="O38" i="14" s="1"/>
  <c r="Q38" i="14" s="1"/>
  <c r="R38" i="14" s="1"/>
  <c r="BN37" i="14"/>
  <c r="BL37" i="14"/>
  <c r="BK37" i="14"/>
  <c r="BH37" i="14"/>
  <c r="BI37" i="14" s="1"/>
  <c r="BF37" i="14"/>
  <c r="BE37" i="14"/>
  <c r="BC37" i="14"/>
  <c r="AM37" i="14"/>
  <c r="AO37" i="14" s="1"/>
  <c r="AJ37" i="14"/>
  <c r="AK37" i="14" s="1"/>
  <c r="AI37" i="14"/>
  <c r="AH37" i="14"/>
  <c r="AF37" i="14"/>
  <c r="AA37" i="14"/>
  <c r="AG37" i="14" s="1"/>
  <c r="Z37" i="14"/>
  <c r="W37" i="14"/>
  <c r="V37" i="14"/>
  <c r="S37" i="14"/>
  <c r="L37" i="14"/>
  <c r="H37" i="14"/>
  <c r="D37" i="14"/>
  <c r="C37" i="14"/>
  <c r="F37" i="14" s="1"/>
  <c r="I37" i="14" s="1"/>
  <c r="K37" i="14" s="1"/>
  <c r="BN36" i="14"/>
  <c r="BK36" i="14"/>
  <c r="BH36" i="14"/>
  <c r="BF36" i="14"/>
  <c r="BE36" i="14"/>
  <c r="BC36" i="14"/>
  <c r="AJ36" i="14"/>
  <c r="AK36" i="14" s="1"/>
  <c r="AM36" i="14" s="1"/>
  <c r="AO36" i="14" s="1"/>
  <c r="Z36" i="14"/>
  <c r="AF36" i="14" s="1"/>
  <c r="X36" i="14"/>
  <c r="AC36" i="14" s="1"/>
  <c r="W36" i="14"/>
  <c r="AI36" i="14" s="1"/>
  <c r="T36" i="14"/>
  <c r="S36" i="14"/>
  <c r="L36" i="14"/>
  <c r="H36" i="14"/>
  <c r="D36" i="14"/>
  <c r="C36" i="14"/>
  <c r="F36" i="14" s="1"/>
  <c r="I36" i="14" s="1"/>
  <c r="K36" i="14" s="1"/>
  <c r="BO35" i="14"/>
  <c r="BN35" i="14"/>
  <c r="BK35" i="14"/>
  <c r="BH35" i="14"/>
  <c r="BI35" i="14" s="1"/>
  <c r="BL35" i="14" s="1"/>
  <c r="BE35" i="14"/>
  <c r="BC35" i="14"/>
  <c r="BF35" i="14" s="1"/>
  <c r="AM35" i="14"/>
  <c r="AO35" i="14" s="1"/>
  <c r="AJ35" i="14"/>
  <c r="AK35" i="14" s="1"/>
  <c r="AF35" i="14"/>
  <c r="Z35" i="14"/>
  <c r="L35" i="14"/>
  <c r="H35" i="14"/>
  <c r="D35" i="14"/>
  <c r="C35" i="14"/>
  <c r="F35" i="14" s="1"/>
  <c r="BN34" i="14"/>
  <c r="BL34" i="14"/>
  <c r="BO34" i="14" s="1"/>
  <c r="BK34" i="14"/>
  <c r="BH34" i="14"/>
  <c r="BF34" i="14"/>
  <c r="BI34" i="14" s="1"/>
  <c r="BE34" i="14"/>
  <c r="BC34" i="14"/>
  <c r="AJ34" i="14"/>
  <c r="AK34" i="14" s="1"/>
  <c r="AM34" i="14" s="1"/>
  <c r="AO34" i="14" s="1"/>
  <c r="AA34" i="14"/>
  <c r="AG34" i="14" s="1"/>
  <c r="Z34" i="14"/>
  <c r="AF34" i="14" s="1"/>
  <c r="V34" i="14"/>
  <c r="T34" i="14"/>
  <c r="L34" i="14"/>
  <c r="H34" i="14"/>
  <c r="D34" i="14"/>
  <c r="C34" i="14"/>
  <c r="F34" i="14" s="1"/>
  <c r="I34" i="14" s="1"/>
  <c r="K34" i="14" s="1"/>
  <c r="M34" i="14" s="1"/>
  <c r="O34" i="14" s="1"/>
  <c r="Q34" i="14" s="1"/>
  <c r="R34" i="14" s="1"/>
  <c r="BN33" i="14"/>
  <c r="BK33" i="14"/>
  <c r="BH33" i="14"/>
  <c r="BF33" i="14"/>
  <c r="BE33" i="14"/>
  <c r="BC33" i="14"/>
  <c r="AM33" i="14"/>
  <c r="AO33" i="14" s="1"/>
  <c r="AJ33" i="14"/>
  <c r="AK33" i="14" s="1"/>
  <c r="AF33" i="14"/>
  <c r="Z33" i="14"/>
  <c r="X33" i="14"/>
  <c r="AC33" i="14" s="1"/>
  <c r="L33" i="14"/>
  <c r="H33" i="14"/>
  <c r="D33" i="14"/>
  <c r="C33" i="14"/>
  <c r="F33" i="14" s="1"/>
  <c r="BO32" i="14"/>
  <c r="BN32" i="14"/>
  <c r="BK32" i="14"/>
  <c r="BH32" i="14"/>
  <c r="BI32" i="14" s="1"/>
  <c r="BL32" i="14" s="1"/>
  <c r="BE32" i="14"/>
  <c r="BC32" i="14"/>
  <c r="BF32" i="14" s="1"/>
  <c r="AJ32" i="14"/>
  <c r="AK32" i="14" s="1"/>
  <c r="AM32" i="14" s="1"/>
  <c r="AO32" i="14" s="1"/>
  <c r="Z32" i="14"/>
  <c r="AF32" i="14" s="1"/>
  <c r="X32" i="14"/>
  <c r="AC32" i="14" s="1"/>
  <c r="W32" i="14"/>
  <c r="AI32" i="14" s="1"/>
  <c r="T32" i="14"/>
  <c r="S32" i="14"/>
  <c r="L32" i="14"/>
  <c r="H32" i="14"/>
  <c r="D32" i="14"/>
  <c r="C32" i="14"/>
  <c r="F32" i="14" s="1"/>
  <c r="I32" i="14" s="1"/>
  <c r="K32" i="14" s="1"/>
  <c r="M32" i="14" s="1"/>
  <c r="O32" i="14" s="1"/>
  <c r="Q32" i="14" s="1"/>
  <c r="R32" i="14" s="1"/>
  <c r="BN31" i="14"/>
  <c r="BK31" i="14"/>
  <c r="BI31" i="14"/>
  <c r="BL31" i="14" s="1"/>
  <c r="BO31" i="14" s="1"/>
  <c r="BH31" i="14"/>
  <c r="BE31" i="14"/>
  <c r="BC31" i="14"/>
  <c r="BF31" i="14" s="1"/>
  <c r="AJ31" i="14"/>
  <c r="AK31" i="14" s="1"/>
  <c r="AM31" i="14" s="1"/>
  <c r="AO31" i="14" s="1"/>
  <c r="AA31" i="14"/>
  <c r="AG31" i="14" s="1"/>
  <c r="Z31" i="14"/>
  <c r="AF31" i="14" s="1"/>
  <c r="X31" i="14"/>
  <c r="AC31" i="14" s="1"/>
  <c r="L31" i="14"/>
  <c r="H31" i="14"/>
  <c r="D31" i="14"/>
  <c r="C31" i="14"/>
  <c r="F31" i="14" s="1"/>
  <c r="BN30" i="14"/>
  <c r="BK30" i="14"/>
  <c r="BH30" i="14"/>
  <c r="BE30" i="14"/>
  <c r="BC30" i="14"/>
  <c r="BF30" i="14" s="1"/>
  <c r="BI30" i="14" s="1"/>
  <c r="BL30" i="14" s="1"/>
  <c r="BO30" i="14" s="1"/>
  <c r="AO30" i="14"/>
  <c r="AM30" i="14"/>
  <c r="AJ30" i="14"/>
  <c r="AK30" i="14" s="1"/>
  <c r="AF30" i="14"/>
  <c r="Z30" i="14"/>
  <c r="W30" i="14"/>
  <c r="AI30" i="14" s="1"/>
  <c r="L30" i="14"/>
  <c r="H30" i="14"/>
  <c r="D30" i="14"/>
  <c r="C30" i="14"/>
  <c r="F30" i="14" s="1"/>
  <c r="BN29" i="14"/>
  <c r="BK29" i="14"/>
  <c r="BH29" i="14"/>
  <c r="BF29" i="14"/>
  <c r="BE29" i="14"/>
  <c r="BC29" i="14"/>
  <c r="AO29" i="14"/>
  <c r="AM29" i="14"/>
  <c r="AJ29" i="14"/>
  <c r="AK29" i="14" s="1"/>
  <c r="AF29" i="14"/>
  <c r="AA29" i="14"/>
  <c r="AG29" i="14" s="1"/>
  <c r="Z29" i="14"/>
  <c r="X29" i="14"/>
  <c r="AC29" i="14" s="1"/>
  <c r="L29" i="14"/>
  <c r="H29" i="14"/>
  <c r="D29" i="14"/>
  <c r="C29" i="14"/>
  <c r="F29" i="14" s="1"/>
  <c r="BN28" i="14"/>
  <c r="BK28" i="14"/>
  <c r="BH28" i="14"/>
  <c r="BF28" i="14"/>
  <c r="BE28" i="14"/>
  <c r="BC28" i="14"/>
  <c r="AJ28" i="14"/>
  <c r="AK28" i="14" s="1"/>
  <c r="AM28" i="14" s="1"/>
  <c r="AO28" i="14" s="1"/>
  <c r="Z28" i="14"/>
  <c r="AF28" i="14" s="1"/>
  <c r="X28" i="14"/>
  <c r="AC28" i="14" s="1"/>
  <c r="W28" i="14"/>
  <c r="AI28" i="14" s="1"/>
  <c r="T28" i="14"/>
  <c r="S28" i="14"/>
  <c r="L28" i="14"/>
  <c r="H28" i="14"/>
  <c r="D28" i="14"/>
  <c r="C28" i="14"/>
  <c r="F28" i="14" s="1"/>
  <c r="I28" i="14" s="1"/>
  <c r="K28" i="14" s="1"/>
  <c r="BO27" i="14"/>
  <c r="BN27" i="14"/>
  <c r="BK27" i="14"/>
  <c r="BH27" i="14"/>
  <c r="BI27" i="14" s="1"/>
  <c r="BL27" i="14" s="1"/>
  <c r="BE27" i="14"/>
  <c r="BC27" i="14"/>
  <c r="BF27" i="14" s="1"/>
  <c r="AJ27" i="14"/>
  <c r="AK27" i="14" s="1"/>
  <c r="AM27" i="14" s="1"/>
  <c r="AO27" i="14" s="1"/>
  <c r="AF27" i="14"/>
  <c r="Z27" i="14"/>
  <c r="L27" i="14"/>
  <c r="H27" i="14"/>
  <c r="D27" i="14"/>
  <c r="C27" i="14"/>
  <c r="F27" i="14" s="1"/>
  <c r="BO26" i="14"/>
  <c r="BN26" i="14"/>
  <c r="BK26" i="14"/>
  <c r="BI26" i="14"/>
  <c r="BL26" i="14" s="1"/>
  <c r="BH26" i="14"/>
  <c r="BE26" i="14"/>
  <c r="BC26" i="14"/>
  <c r="BF26" i="14" s="1"/>
  <c r="AO26" i="14"/>
  <c r="AJ26" i="14"/>
  <c r="AK26" i="14" s="1"/>
  <c r="AM26" i="14" s="1"/>
  <c r="AI26" i="14"/>
  <c r="Z26" i="14"/>
  <c r="AF26" i="14" s="1"/>
  <c r="X26" i="14"/>
  <c r="AC26" i="14" s="1"/>
  <c r="W26" i="14"/>
  <c r="T26" i="14"/>
  <c r="S26" i="14"/>
  <c r="L26" i="14"/>
  <c r="H26" i="14"/>
  <c r="D26" i="14"/>
  <c r="C26" i="14"/>
  <c r="F26" i="14" s="1"/>
  <c r="I26" i="14" s="1"/>
  <c r="K26" i="14" s="1"/>
  <c r="BN25" i="14"/>
  <c r="BK25" i="14"/>
  <c r="BI25" i="14"/>
  <c r="BL25" i="14" s="1"/>
  <c r="BH25" i="14"/>
  <c r="BE25" i="14"/>
  <c r="BC25" i="14"/>
  <c r="BF25" i="14" s="1"/>
  <c r="AJ25" i="14"/>
  <c r="AK25" i="14" s="1"/>
  <c r="AM25" i="14" s="1"/>
  <c r="AO25" i="14" s="1"/>
  <c r="Z25" i="14"/>
  <c r="AF25" i="14" s="1"/>
  <c r="X25" i="14"/>
  <c r="AC25" i="14" s="1"/>
  <c r="V25" i="14"/>
  <c r="L25" i="14"/>
  <c r="H25" i="14"/>
  <c r="AA25" i="14" s="1"/>
  <c r="AG25" i="14" s="1"/>
  <c r="D25" i="14"/>
  <c r="C25" i="14"/>
  <c r="F25" i="14" s="1"/>
  <c r="BN24" i="14"/>
  <c r="BK24" i="14"/>
  <c r="BH24" i="14"/>
  <c r="BE24" i="14"/>
  <c r="BC24" i="14"/>
  <c r="BF24" i="14" s="1"/>
  <c r="BI24" i="14" s="1"/>
  <c r="BL24" i="14" s="1"/>
  <c r="BO24" i="14" s="1"/>
  <c r="AM24" i="14"/>
  <c r="AO24" i="14" s="1"/>
  <c r="AJ24" i="14"/>
  <c r="AK24" i="14" s="1"/>
  <c r="Z24" i="14"/>
  <c r="AF24" i="14" s="1"/>
  <c r="L24" i="14"/>
  <c r="H24" i="14"/>
  <c r="D24" i="14"/>
  <c r="C24" i="14"/>
  <c r="F24" i="14" s="1"/>
  <c r="BN23" i="14"/>
  <c r="BK23" i="14"/>
  <c r="BH23" i="14"/>
  <c r="BF23" i="14"/>
  <c r="BE23" i="14"/>
  <c r="BC23" i="14"/>
  <c r="AO23" i="14"/>
  <c r="AM23" i="14"/>
  <c r="AJ23" i="14"/>
  <c r="AK23" i="14" s="1"/>
  <c r="AI23" i="14"/>
  <c r="AH23" i="14"/>
  <c r="AF23" i="14"/>
  <c r="AA23" i="14"/>
  <c r="AG23" i="14" s="1"/>
  <c r="Z23" i="14"/>
  <c r="W23" i="14"/>
  <c r="V23" i="14"/>
  <c r="L23" i="14"/>
  <c r="H23" i="14"/>
  <c r="S23" i="14" s="1"/>
  <c r="D23" i="14"/>
  <c r="C23" i="14"/>
  <c r="F23" i="14" s="1"/>
  <c r="BN22" i="14"/>
  <c r="BK22" i="14"/>
  <c r="BH22" i="14"/>
  <c r="BF22" i="14"/>
  <c r="BE22" i="14"/>
  <c r="BC22" i="14"/>
  <c r="AJ22" i="14"/>
  <c r="AK22" i="14" s="1"/>
  <c r="AM22" i="14" s="1"/>
  <c r="AO22" i="14" s="1"/>
  <c r="AI22" i="14"/>
  <c r="Z22" i="14"/>
  <c r="AF22" i="14" s="1"/>
  <c r="X22" i="14"/>
  <c r="AC22" i="14" s="1"/>
  <c r="W22" i="14"/>
  <c r="T22" i="14"/>
  <c r="S22" i="14"/>
  <c r="L22" i="14"/>
  <c r="H22" i="14"/>
  <c r="D22" i="14"/>
  <c r="C22" i="14"/>
  <c r="F22" i="14" s="1"/>
  <c r="I22" i="14" s="1"/>
  <c r="K22" i="14" s="1"/>
  <c r="M22" i="14" s="1"/>
  <c r="O22" i="14" s="1"/>
  <c r="Q22" i="14" s="1"/>
  <c r="R22" i="14" s="1"/>
  <c r="BN21" i="14"/>
  <c r="BO21" i="14" s="1"/>
  <c r="BK21" i="14"/>
  <c r="BH21" i="14"/>
  <c r="BI21" i="14" s="1"/>
  <c r="BL21" i="14" s="1"/>
  <c r="BE21" i="14"/>
  <c r="BC21" i="14"/>
  <c r="BF21" i="14" s="1"/>
  <c r="AJ21" i="14"/>
  <c r="AK21" i="14" s="1"/>
  <c r="AM21" i="14" s="1"/>
  <c r="AO21" i="14" s="1"/>
  <c r="Z21" i="14"/>
  <c r="AF21" i="14" s="1"/>
  <c r="L21" i="14"/>
  <c r="H21" i="14"/>
  <c r="D21" i="14"/>
  <c r="C21" i="14"/>
  <c r="F21" i="14" s="1"/>
  <c r="BN20" i="14"/>
  <c r="BL20" i="14"/>
  <c r="BO20" i="14" s="1"/>
  <c r="BK20" i="14"/>
  <c r="BH20" i="14"/>
  <c r="BF20" i="14"/>
  <c r="BI20" i="14" s="1"/>
  <c r="BE20" i="14"/>
  <c r="BC20" i="14"/>
  <c r="AJ20" i="14"/>
  <c r="AK20" i="14" s="1"/>
  <c r="AM20" i="14" s="1"/>
  <c r="AO20" i="14" s="1"/>
  <c r="AA20" i="14"/>
  <c r="AG20" i="14" s="1"/>
  <c r="Z20" i="14"/>
  <c r="AF20" i="14" s="1"/>
  <c r="V20" i="14"/>
  <c r="AH20" i="14" s="1"/>
  <c r="T20" i="14"/>
  <c r="L20" i="14"/>
  <c r="H20" i="14"/>
  <c r="D20" i="14"/>
  <c r="C20" i="14"/>
  <c r="F20" i="14" s="1"/>
  <c r="BN19" i="14"/>
  <c r="BK19" i="14"/>
  <c r="BH19" i="14"/>
  <c r="BI19" i="14" s="1"/>
  <c r="BL19" i="14" s="1"/>
  <c r="BF19" i="14"/>
  <c r="BE19" i="14"/>
  <c r="BC19" i="14"/>
  <c r="AM19" i="14"/>
  <c r="AO19" i="14" s="1"/>
  <c r="AJ19" i="14"/>
  <c r="AK19" i="14" s="1"/>
  <c r="AF19" i="14"/>
  <c r="Z19" i="14"/>
  <c r="L19" i="14"/>
  <c r="H19" i="14"/>
  <c r="D19" i="14"/>
  <c r="C19" i="14"/>
  <c r="F19" i="14" s="1"/>
  <c r="BN18" i="14"/>
  <c r="BK18" i="14"/>
  <c r="BH18" i="14"/>
  <c r="BE18" i="14"/>
  <c r="BC18" i="14"/>
  <c r="BF18" i="14" s="1"/>
  <c r="BI18" i="14" s="1"/>
  <c r="BL18" i="14" s="1"/>
  <c r="BO18" i="14" s="1"/>
  <c r="AO18" i="14"/>
  <c r="AJ18" i="14"/>
  <c r="AK18" i="14" s="1"/>
  <c r="AM18" i="14" s="1"/>
  <c r="Z18" i="14"/>
  <c r="AF18" i="14" s="1"/>
  <c r="X18" i="14"/>
  <c r="AC18" i="14" s="1"/>
  <c r="W18" i="14"/>
  <c r="AI18" i="14" s="1"/>
  <c r="T18" i="14"/>
  <c r="S18" i="14"/>
  <c r="L18" i="14"/>
  <c r="I18" i="14"/>
  <c r="K18" i="14" s="1"/>
  <c r="M18" i="14" s="1"/>
  <c r="O18" i="14" s="1"/>
  <c r="Q18" i="14" s="1"/>
  <c r="R18" i="14" s="1"/>
  <c r="H18" i="14"/>
  <c r="D18" i="14"/>
  <c r="C18" i="14"/>
  <c r="F18" i="14" s="1"/>
  <c r="BN17" i="14"/>
  <c r="BK17" i="14"/>
  <c r="BI17" i="14"/>
  <c r="BL17" i="14" s="1"/>
  <c r="BO17" i="14" s="1"/>
  <c r="BH17" i="14"/>
  <c r="BE17" i="14"/>
  <c r="BC17" i="14"/>
  <c r="BF17" i="14" s="1"/>
  <c r="AJ17" i="14"/>
  <c r="AK17" i="14" s="1"/>
  <c r="AM17" i="14" s="1"/>
  <c r="AO17" i="14" s="1"/>
  <c r="AA17" i="14"/>
  <c r="AG17" i="14" s="1"/>
  <c r="Z17" i="14"/>
  <c r="AF17" i="14" s="1"/>
  <c r="X17" i="14"/>
  <c r="AC17" i="14" s="1"/>
  <c r="V17" i="14"/>
  <c r="T17" i="14"/>
  <c r="L17" i="14"/>
  <c r="H17" i="14"/>
  <c r="D17" i="14"/>
  <c r="C17" i="14"/>
  <c r="F17" i="14" s="1"/>
  <c r="BN16" i="14"/>
  <c r="BK16" i="14"/>
  <c r="BH16" i="14"/>
  <c r="BE16" i="14"/>
  <c r="BC16" i="14"/>
  <c r="BF16" i="14" s="1"/>
  <c r="BI16" i="14" s="1"/>
  <c r="BL16" i="14" s="1"/>
  <c r="BO16" i="14" s="1"/>
  <c r="AM16" i="14"/>
  <c r="AO16" i="14" s="1"/>
  <c r="AJ16" i="14"/>
  <c r="AK16" i="14" s="1"/>
  <c r="Z16" i="14"/>
  <c r="AF16" i="14" s="1"/>
  <c r="L16" i="14"/>
  <c r="H16" i="14"/>
  <c r="D16" i="14"/>
  <c r="C16" i="14"/>
  <c r="F16" i="14" s="1"/>
  <c r="BN15" i="14"/>
  <c r="BL15" i="14"/>
  <c r="BK15" i="14"/>
  <c r="BH15" i="14"/>
  <c r="BI15" i="14" s="1"/>
  <c r="BF15" i="14"/>
  <c r="BE15" i="14"/>
  <c r="BC15" i="14"/>
  <c r="AO15" i="14"/>
  <c r="AM15" i="14"/>
  <c r="AJ15" i="14"/>
  <c r="AK15" i="14" s="1"/>
  <c r="AI15" i="14"/>
  <c r="AH15" i="14"/>
  <c r="AF15" i="14"/>
  <c r="AA15" i="14"/>
  <c r="AG15" i="14" s="1"/>
  <c r="Z15" i="14"/>
  <c r="W15" i="14"/>
  <c r="V15" i="14"/>
  <c r="S15" i="14"/>
  <c r="L15" i="14"/>
  <c r="H15" i="14"/>
  <c r="D15" i="14"/>
  <c r="C15" i="14"/>
  <c r="F15" i="14" s="1"/>
  <c r="I15" i="14" s="1"/>
  <c r="K15" i="14" s="1"/>
  <c r="BN14" i="14"/>
  <c r="BK14" i="14"/>
  <c r="BH14" i="14"/>
  <c r="BI14" i="14" s="1"/>
  <c r="BL14" i="14" s="1"/>
  <c r="BF14" i="14"/>
  <c r="BE14" i="14"/>
  <c r="BC14" i="14"/>
  <c r="AJ14" i="14"/>
  <c r="AK14" i="14" s="1"/>
  <c r="AM14" i="14" s="1"/>
  <c r="AO14" i="14" s="1"/>
  <c r="Z14" i="14"/>
  <c r="AF14" i="14" s="1"/>
  <c r="X14" i="14"/>
  <c r="AC14" i="14" s="1"/>
  <c r="W14" i="14"/>
  <c r="AI14" i="14" s="1"/>
  <c r="T14" i="14"/>
  <c r="S14" i="14"/>
  <c r="L14" i="14"/>
  <c r="H14" i="14"/>
  <c r="D14" i="14"/>
  <c r="C14" i="14"/>
  <c r="F14" i="14" s="1"/>
  <c r="I14" i="14" s="1"/>
  <c r="K14" i="14" s="1"/>
  <c r="BN13" i="14"/>
  <c r="BO13" i="14" s="1"/>
  <c r="BK13" i="14"/>
  <c r="BH13" i="14"/>
  <c r="BI13" i="14" s="1"/>
  <c r="BL13" i="14" s="1"/>
  <c r="BE13" i="14"/>
  <c r="BC13" i="14"/>
  <c r="BF13" i="14" s="1"/>
  <c r="AJ13" i="14"/>
  <c r="AK13" i="14" s="1"/>
  <c r="AM13" i="14" s="1"/>
  <c r="AO13" i="14" s="1"/>
  <c r="AF13" i="14"/>
  <c r="Z13" i="14"/>
  <c r="T13" i="14"/>
  <c r="S13" i="14"/>
  <c r="L13" i="14"/>
  <c r="H13" i="14"/>
  <c r="D13" i="14"/>
  <c r="C13" i="14"/>
  <c r="F13" i="14" s="1"/>
  <c r="BN12" i="14"/>
  <c r="BL12" i="14"/>
  <c r="BO12" i="14" s="1"/>
  <c r="BK12" i="14"/>
  <c r="BH12" i="14"/>
  <c r="BF12" i="14"/>
  <c r="BI12" i="14" s="1"/>
  <c r="BE12" i="14"/>
  <c r="BC12" i="14"/>
  <c r="AJ12" i="14"/>
  <c r="AK12" i="14" s="1"/>
  <c r="AM12" i="14" s="1"/>
  <c r="AO12" i="14" s="1"/>
  <c r="AH12" i="14"/>
  <c r="AA12" i="14"/>
  <c r="AG12" i="14" s="1"/>
  <c r="Z12" i="14"/>
  <c r="AF12" i="14" s="1"/>
  <c r="V12" i="14"/>
  <c r="T12" i="14"/>
  <c r="L12" i="14"/>
  <c r="H12" i="14"/>
  <c r="D12" i="14"/>
  <c r="C12" i="14"/>
  <c r="F12" i="14" s="1"/>
  <c r="I12" i="14" s="1"/>
  <c r="K12" i="14" s="1"/>
  <c r="M12" i="14" s="1"/>
  <c r="O12" i="14" s="1"/>
  <c r="Q12" i="14" s="1"/>
  <c r="R12" i="14" s="1"/>
  <c r="BN11" i="14"/>
  <c r="BK11" i="14"/>
  <c r="BH11" i="14"/>
  <c r="BF11" i="14"/>
  <c r="BE11" i="14"/>
  <c r="BC11" i="14"/>
  <c r="AJ11" i="14"/>
  <c r="AK11" i="14" s="1"/>
  <c r="AM11" i="14" s="1"/>
  <c r="AO11" i="14" s="1"/>
  <c r="AF11" i="14"/>
  <c r="Z11" i="14"/>
  <c r="L11" i="14"/>
  <c r="H11" i="14"/>
  <c r="D11" i="14"/>
  <c r="C11" i="14"/>
  <c r="F11" i="14" s="1"/>
  <c r="BO10" i="14"/>
  <c r="BN10" i="14"/>
  <c r="BK10" i="14"/>
  <c r="BI10" i="14"/>
  <c r="BL10" i="14" s="1"/>
  <c r="BH10" i="14"/>
  <c r="BE10" i="14"/>
  <c r="BC10" i="14"/>
  <c r="BF10" i="14" s="1"/>
  <c r="AJ10" i="14"/>
  <c r="AK10" i="14" s="1"/>
  <c r="AM10" i="14" s="1"/>
  <c r="AO10" i="14" s="1"/>
  <c r="Z10" i="14"/>
  <c r="AF10" i="14" s="1"/>
  <c r="X10" i="14"/>
  <c r="AC10" i="14" s="1"/>
  <c r="W10" i="14"/>
  <c r="AI10" i="14" s="1"/>
  <c r="T10" i="14"/>
  <c r="S10" i="14"/>
  <c r="L10" i="14"/>
  <c r="H10" i="14"/>
  <c r="D10" i="14"/>
  <c r="C10" i="14"/>
  <c r="F10" i="14" s="1"/>
  <c r="I10" i="14" s="1"/>
  <c r="K10" i="14" s="1"/>
  <c r="M10" i="14" s="1"/>
  <c r="O10" i="14" s="1"/>
  <c r="Q10" i="14" s="1"/>
  <c r="R10" i="14" s="1"/>
  <c r="BN9" i="14"/>
  <c r="BK9" i="14"/>
  <c r="BI9" i="14"/>
  <c r="BL9" i="14" s="1"/>
  <c r="BO9" i="14" s="1"/>
  <c r="BH9" i="14"/>
  <c r="BE9" i="14"/>
  <c r="BC9" i="14"/>
  <c r="BF9" i="14" s="1"/>
  <c r="AJ9" i="14"/>
  <c r="AK9" i="14" s="1"/>
  <c r="AM9" i="14" s="1"/>
  <c r="AO9" i="14" s="1"/>
  <c r="AA9" i="14"/>
  <c r="AG9" i="14" s="1"/>
  <c r="Z9" i="14"/>
  <c r="AF9" i="14" s="1"/>
  <c r="X9" i="14"/>
  <c r="AC9" i="14" s="1"/>
  <c r="V9" i="14"/>
  <c r="T9" i="14"/>
  <c r="L9" i="14"/>
  <c r="H9" i="14"/>
  <c r="D9" i="14"/>
  <c r="C9" i="14"/>
  <c r="F9" i="14" s="1"/>
  <c r="BO8" i="14"/>
  <c r="BN8" i="14"/>
  <c r="BK8" i="14"/>
  <c r="BI8" i="14"/>
  <c r="BL8" i="14" s="1"/>
  <c r="BH8" i="14"/>
  <c r="BE8" i="14"/>
  <c r="BC8" i="14"/>
  <c r="BF8" i="14" s="1"/>
  <c r="AJ8" i="14"/>
  <c r="AK8" i="14" s="1"/>
  <c r="AM8" i="14" s="1"/>
  <c r="AO8" i="14" s="1"/>
  <c r="AF8" i="14"/>
  <c r="Z8" i="14"/>
  <c r="L8" i="14"/>
  <c r="H8" i="14"/>
  <c r="W8" i="14" s="1"/>
  <c r="AI8" i="14" s="1"/>
  <c r="D8" i="14"/>
  <c r="C8" i="14"/>
  <c r="F8" i="14" s="1"/>
  <c r="BN7" i="14"/>
  <c r="BL7" i="14"/>
  <c r="BK7" i="14"/>
  <c r="BH7" i="14"/>
  <c r="BI7" i="14" s="1"/>
  <c r="BF7" i="14"/>
  <c r="BE7" i="14"/>
  <c r="BC7" i="14"/>
  <c r="AJ7" i="14"/>
  <c r="AK7" i="14" s="1"/>
  <c r="AM7" i="14" s="1"/>
  <c r="AO7" i="14" s="1"/>
  <c r="AF7" i="14"/>
  <c r="AA7" i="14"/>
  <c r="AG7" i="14" s="1"/>
  <c r="Z7" i="14"/>
  <c r="W7" i="14"/>
  <c r="AI7" i="14" s="1"/>
  <c r="V7" i="14"/>
  <c r="AH7" i="14" s="1"/>
  <c r="S7" i="14"/>
  <c r="L7" i="14"/>
  <c r="H7" i="14"/>
  <c r="D7" i="14"/>
  <c r="C7" i="14"/>
  <c r="F7" i="14" s="1"/>
  <c r="I7" i="14" s="1"/>
  <c r="K7" i="14" s="1"/>
  <c r="BN6" i="14"/>
  <c r="BK6" i="14"/>
  <c r="BH6" i="14"/>
  <c r="BF6" i="14"/>
  <c r="BE6" i="14"/>
  <c r="BC6" i="14"/>
  <c r="AJ6" i="14"/>
  <c r="AK6" i="14" s="1"/>
  <c r="AM6" i="14" s="1"/>
  <c r="AO6" i="14" s="1"/>
  <c r="Z6" i="14"/>
  <c r="AF6" i="14" s="1"/>
  <c r="X6" i="14"/>
  <c r="AC6" i="14" s="1"/>
  <c r="W6" i="14"/>
  <c r="AI6" i="14" s="1"/>
  <c r="T6" i="14"/>
  <c r="S6" i="14"/>
  <c r="L6" i="14"/>
  <c r="H6" i="14"/>
  <c r="D6" i="14"/>
  <c r="C6" i="14"/>
  <c r="F6" i="14" s="1"/>
  <c r="I6" i="14" s="1"/>
  <c r="K6" i="14" s="1"/>
  <c r="BN68" i="14"/>
  <c r="BK68" i="14"/>
  <c r="BH68" i="14"/>
  <c r="BE68" i="14"/>
  <c r="BF68" i="14" s="1"/>
  <c r="BI68" i="14" s="1"/>
  <c r="BL68" i="14" s="1"/>
  <c r="BO68" i="14" s="1"/>
  <c r="BC68" i="14"/>
  <c r="AJ68" i="14"/>
  <c r="AK68" i="14" s="1"/>
  <c r="AM68" i="14" s="1"/>
  <c r="AO68" i="14" s="1"/>
  <c r="AF68" i="14"/>
  <c r="Z68" i="14"/>
  <c r="Y68" i="14"/>
  <c r="AE68" i="14" s="1"/>
  <c r="X68" i="14"/>
  <c r="AC68" i="14" s="1"/>
  <c r="V68" i="14"/>
  <c r="U68" i="14"/>
  <c r="AD68" i="14" s="1"/>
  <c r="T68" i="14"/>
  <c r="L68" i="14"/>
  <c r="H68" i="14"/>
  <c r="AA68" i="14" s="1"/>
  <c r="AG68" i="14" s="1"/>
  <c r="D68" i="14"/>
  <c r="C68" i="14"/>
  <c r="F68" i="14" s="1"/>
  <c r="I68" i="14" s="1"/>
  <c r="K68" i="14" s="1"/>
  <c r="M48" i="14" l="1"/>
  <c r="O48" i="14" s="1"/>
  <c r="Q48" i="14" s="1"/>
  <c r="R48" i="14" s="1"/>
  <c r="M57" i="14"/>
  <c r="O57" i="14" s="1"/>
  <c r="Q57" i="14" s="1"/>
  <c r="R57" i="14" s="1"/>
  <c r="M68" i="14"/>
  <c r="O68" i="14" s="1"/>
  <c r="Q68" i="14" s="1"/>
  <c r="R68" i="14" s="1"/>
  <c r="M28" i="14"/>
  <c r="O28" i="14" s="1"/>
  <c r="Q28" i="14" s="1"/>
  <c r="R28" i="14" s="1"/>
  <c r="M44" i="14"/>
  <c r="O44" i="14" s="1"/>
  <c r="Q44" i="14" s="1"/>
  <c r="R44" i="14" s="1"/>
  <c r="M14" i="14"/>
  <c r="O14" i="14" s="1"/>
  <c r="Q14" i="14" s="1"/>
  <c r="R14" i="14" s="1"/>
  <c r="M7" i="14"/>
  <c r="O7" i="14" s="1"/>
  <c r="Q7" i="14" s="1"/>
  <c r="R7" i="14" s="1"/>
  <c r="M6" i="14"/>
  <c r="O6" i="14" s="1"/>
  <c r="Q6" i="14" s="1"/>
  <c r="R6" i="14" s="1"/>
  <c r="Y11" i="14"/>
  <c r="AE11" i="14" s="1"/>
  <c r="U11" i="14"/>
  <c r="T11" i="14"/>
  <c r="AA11" i="14"/>
  <c r="AG11" i="14" s="1"/>
  <c r="V11" i="14"/>
  <c r="W11" i="14"/>
  <c r="AI11" i="14" s="1"/>
  <c r="S11" i="14"/>
  <c r="BO11" i="14"/>
  <c r="AB12" i="14"/>
  <c r="AH17" i="14"/>
  <c r="Y21" i="14"/>
  <c r="AE21" i="14" s="1"/>
  <c r="U21" i="14"/>
  <c r="W21" i="14"/>
  <c r="AI21" i="14" s="1"/>
  <c r="I21" i="14"/>
  <c r="K21" i="14" s="1"/>
  <c r="V21" i="14"/>
  <c r="X21" i="14"/>
  <c r="AC21" i="14" s="1"/>
  <c r="M26" i="14"/>
  <c r="O26" i="14" s="1"/>
  <c r="Q26" i="14" s="1"/>
  <c r="R26" i="14" s="1"/>
  <c r="BO6" i="14"/>
  <c r="I8" i="14"/>
  <c r="K8" i="14" s="1"/>
  <c r="M8" i="14" s="1"/>
  <c r="O8" i="14" s="1"/>
  <c r="Q8" i="14" s="1"/>
  <c r="R8" i="14" s="1"/>
  <c r="I11" i="14"/>
  <c r="K11" i="14" s="1"/>
  <c r="M11" i="14" s="1"/>
  <c r="O11" i="14" s="1"/>
  <c r="Q11" i="14" s="1"/>
  <c r="R11" i="14" s="1"/>
  <c r="M21" i="14"/>
  <c r="O21" i="14" s="1"/>
  <c r="Q21" i="14" s="1"/>
  <c r="R21" i="14" s="1"/>
  <c r="Y27" i="14"/>
  <c r="AE27" i="14" s="1"/>
  <c r="U27" i="14"/>
  <c r="T27" i="14"/>
  <c r="S27" i="14"/>
  <c r="W27" i="14"/>
  <c r="AI27" i="14" s="1"/>
  <c r="X27" i="14"/>
  <c r="AC27" i="14" s="1"/>
  <c r="V27" i="14"/>
  <c r="AQ28" i="14"/>
  <c r="AB28" i="14"/>
  <c r="BI28" i="14"/>
  <c r="BL28" i="14" s="1"/>
  <c r="Y35" i="14"/>
  <c r="AE35" i="14" s="1"/>
  <c r="U35" i="14"/>
  <c r="W35" i="14"/>
  <c r="AI35" i="14" s="1"/>
  <c r="I35" i="14"/>
  <c r="K35" i="14" s="1"/>
  <c r="M35" i="14" s="1"/>
  <c r="O35" i="14" s="1"/>
  <c r="Q35" i="14" s="1"/>
  <c r="R35" i="14" s="1"/>
  <c r="V35" i="14"/>
  <c r="AA35" i="14"/>
  <c r="AG35" i="14" s="1"/>
  <c r="S35" i="14"/>
  <c r="T35" i="14"/>
  <c r="BI6" i="14"/>
  <c r="BL6" i="14" s="1"/>
  <c r="AH9" i="14"/>
  <c r="BI11" i="14"/>
  <c r="BL11" i="14" s="1"/>
  <c r="Y16" i="14"/>
  <c r="AE16" i="14" s="1"/>
  <c r="U16" i="14"/>
  <c r="X16" i="14"/>
  <c r="AC16" i="14" s="1"/>
  <c r="S16" i="14"/>
  <c r="AA16" i="14"/>
  <c r="AG16" i="14" s="1"/>
  <c r="T16" i="14"/>
  <c r="V16" i="14"/>
  <c r="Y19" i="14"/>
  <c r="AE19" i="14" s="1"/>
  <c r="U19" i="14"/>
  <c r="T19" i="14"/>
  <c r="AA19" i="14"/>
  <c r="AG19" i="14" s="1"/>
  <c r="V19" i="14"/>
  <c r="W19" i="14"/>
  <c r="AI19" i="14" s="1"/>
  <c r="AB20" i="14"/>
  <c r="S21" i="14"/>
  <c r="AQ22" i="14"/>
  <c r="AB22" i="14"/>
  <c r="Y24" i="14"/>
  <c r="AE24" i="14" s="1"/>
  <c r="U24" i="14"/>
  <c r="X24" i="14"/>
  <c r="AC24" i="14" s="1"/>
  <c r="S24" i="14"/>
  <c r="AA24" i="14"/>
  <c r="AG24" i="14" s="1"/>
  <c r="T24" i="14"/>
  <c r="V24" i="14"/>
  <c r="BO25" i="14"/>
  <c r="I27" i="14"/>
  <c r="K27" i="14" s="1"/>
  <c r="M27" i="14" s="1"/>
  <c r="O27" i="14" s="1"/>
  <c r="Q27" i="14" s="1"/>
  <c r="R27" i="14" s="1"/>
  <c r="AH34" i="14"/>
  <c r="Y8" i="14"/>
  <c r="AE8" i="14" s="1"/>
  <c r="U8" i="14"/>
  <c r="X8" i="14"/>
  <c r="AC8" i="14" s="1"/>
  <c r="S8" i="14"/>
  <c r="AA8" i="14"/>
  <c r="AG8" i="14" s="1"/>
  <c r="T8" i="14"/>
  <c r="V8" i="14"/>
  <c r="X11" i="14"/>
  <c r="AC11" i="14" s="1"/>
  <c r="AQ13" i="14"/>
  <c r="AB13" i="14"/>
  <c r="AQ14" i="14"/>
  <c r="AB14" i="14"/>
  <c r="AA21" i="14"/>
  <c r="AG21" i="14" s="1"/>
  <c r="BI22" i="14"/>
  <c r="BL22" i="14" s="1"/>
  <c r="BO22" i="14" s="1"/>
  <c r="Y13" i="14"/>
  <c r="AE13" i="14" s="1"/>
  <c r="U13" i="14"/>
  <c r="W13" i="14"/>
  <c r="AI13" i="14" s="1"/>
  <c r="I13" i="14"/>
  <c r="K13" i="14" s="1"/>
  <c r="M13" i="14" s="1"/>
  <c r="O13" i="14" s="1"/>
  <c r="Q13" i="14" s="1"/>
  <c r="R13" i="14" s="1"/>
  <c r="V13" i="14"/>
  <c r="X13" i="14"/>
  <c r="AC13" i="14" s="1"/>
  <c r="S19" i="14"/>
  <c r="BO19" i="14"/>
  <c r="AQ6" i="14"/>
  <c r="AB6" i="14"/>
  <c r="AA13" i="14"/>
  <c r="AG13" i="14" s="1"/>
  <c r="BO14" i="14"/>
  <c r="M15" i="14"/>
  <c r="O15" i="14" s="1"/>
  <c r="Q15" i="14" s="1"/>
  <c r="R15" i="14" s="1"/>
  <c r="I16" i="14"/>
  <c r="K16" i="14" s="1"/>
  <c r="M16" i="14" s="1"/>
  <c r="O16" i="14" s="1"/>
  <c r="Q16" i="14" s="1"/>
  <c r="R16" i="14" s="1"/>
  <c r="W16" i="14"/>
  <c r="AI16" i="14" s="1"/>
  <c r="I19" i="14"/>
  <c r="K19" i="14" s="1"/>
  <c r="M19" i="14" s="1"/>
  <c r="O19" i="14" s="1"/>
  <c r="Q19" i="14" s="1"/>
  <c r="R19" i="14" s="1"/>
  <c r="X19" i="14"/>
  <c r="AC19" i="14" s="1"/>
  <c r="I20" i="14"/>
  <c r="K20" i="14" s="1"/>
  <c r="M20" i="14" s="1"/>
  <c r="O20" i="14" s="1"/>
  <c r="Q20" i="14" s="1"/>
  <c r="R20" i="14" s="1"/>
  <c r="T21" i="14"/>
  <c r="I24" i="14"/>
  <c r="K24" i="14" s="1"/>
  <c r="M24" i="14" s="1"/>
  <c r="O24" i="14" s="1"/>
  <c r="Q24" i="14" s="1"/>
  <c r="R24" i="14" s="1"/>
  <c r="W24" i="14"/>
  <c r="AI24" i="14" s="1"/>
  <c r="AH25" i="14"/>
  <c r="AA27" i="14"/>
  <c r="AG27" i="14" s="1"/>
  <c r="BO28" i="14"/>
  <c r="Y30" i="14"/>
  <c r="AE30" i="14" s="1"/>
  <c r="U30" i="14"/>
  <c r="X30" i="14"/>
  <c r="AC30" i="14" s="1"/>
  <c r="S30" i="14"/>
  <c r="V30" i="14"/>
  <c r="T30" i="14"/>
  <c r="I30" i="14"/>
  <c r="K30" i="14" s="1"/>
  <c r="M30" i="14" s="1"/>
  <c r="O30" i="14" s="1"/>
  <c r="Q30" i="14" s="1"/>
  <c r="R30" i="14" s="1"/>
  <c r="AA30" i="14"/>
  <c r="AG30" i="14" s="1"/>
  <c r="X35" i="14"/>
  <c r="AC35" i="14" s="1"/>
  <c r="BO40" i="14"/>
  <c r="AQ39" i="14"/>
  <c r="AB39" i="14"/>
  <c r="AB9" i="14"/>
  <c r="AB17" i="14"/>
  <c r="I23" i="14"/>
  <c r="K23" i="14" s="1"/>
  <c r="M23" i="14" s="1"/>
  <c r="O23" i="14" s="1"/>
  <c r="Q23" i="14" s="1"/>
  <c r="R23" i="14" s="1"/>
  <c r="BI23" i="14"/>
  <c r="BL23" i="14" s="1"/>
  <c r="BO23" i="14" s="1"/>
  <c r="T25" i="14"/>
  <c r="Y29" i="14"/>
  <c r="AE29" i="14" s="1"/>
  <c r="U29" i="14"/>
  <c r="T29" i="14"/>
  <c r="S29" i="14"/>
  <c r="I29" i="14"/>
  <c r="K29" i="14" s="1"/>
  <c r="M29" i="14" s="1"/>
  <c r="O29" i="14" s="1"/>
  <c r="Q29" i="14" s="1"/>
  <c r="R29" i="14" s="1"/>
  <c r="W29" i="14"/>
  <c r="AI29" i="14" s="1"/>
  <c r="V29" i="14"/>
  <c r="AH38" i="14"/>
  <c r="Y45" i="14"/>
  <c r="AE45" i="14" s="1"/>
  <c r="U45" i="14"/>
  <c r="T45" i="14"/>
  <c r="X45" i="14"/>
  <c r="AC45" i="14" s="1"/>
  <c r="S45" i="14"/>
  <c r="AA45" i="14"/>
  <c r="AG45" i="14" s="1"/>
  <c r="V45" i="14"/>
  <c r="W45" i="14"/>
  <c r="AI45" i="14" s="1"/>
  <c r="Y49" i="14"/>
  <c r="AE49" i="14" s="1"/>
  <c r="U49" i="14"/>
  <c r="T49" i="14"/>
  <c r="X49" i="14"/>
  <c r="AC49" i="14" s="1"/>
  <c r="S49" i="14"/>
  <c r="W49" i="14"/>
  <c r="AI49" i="14" s="1"/>
  <c r="V49" i="14"/>
  <c r="I49" i="14"/>
  <c r="K49" i="14" s="1"/>
  <c r="M49" i="14" s="1"/>
  <c r="O49" i="14" s="1"/>
  <c r="Q49" i="14" s="1"/>
  <c r="R49" i="14" s="1"/>
  <c r="AA49" i="14"/>
  <c r="AG49" i="14" s="1"/>
  <c r="AH56" i="14"/>
  <c r="Y42" i="14"/>
  <c r="AE42" i="14" s="1"/>
  <c r="U42" i="14"/>
  <c r="X42" i="14"/>
  <c r="AC42" i="14" s="1"/>
  <c r="S42" i="14"/>
  <c r="V42" i="14"/>
  <c r="T42" i="14"/>
  <c r="I42" i="14"/>
  <c r="K42" i="14" s="1"/>
  <c r="M42" i="14" s="1"/>
  <c r="O42" i="14" s="1"/>
  <c r="Q42" i="14" s="1"/>
  <c r="R42" i="14" s="1"/>
  <c r="AA42" i="14"/>
  <c r="AG42" i="14" s="1"/>
  <c r="AH43" i="14"/>
  <c r="BO43" i="14"/>
  <c r="Y50" i="14"/>
  <c r="AE50" i="14" s="1"/>
  <c r="U50" i="14"/>
  <c r="X50" i="14"/>
  <c r="AC50" i="14" s="1"/>
  <c r="S50" i="14"/>
  <c r="W50" i="14"/>
  <c r="AI50" i="14" s="1"/>
  <c r="I50" i="14"/>
  <c r="K50" i="14" s="1"/>
  <c r="M50" i="14" s="1"/>
  <c r="O50" i="14" s="1"/>
  <c r="Q50" i="14" s="1"/>
  <c r="R50" i="14" s="1"/>
  <c r="AA50" i="14"/>
  <c r="AG50" i="14" s="1"/>
  <c r="V50" i="14"/>
  <c r="T50" i="14"/>
  <c r="Y7" i="14"/>
  <c r="AE7" i="14" s="1"/>
  <c r="U7" i="14"/>
  <c r="T7" i="14"/>
  <c r="X7" i="14"/>
  <c r="AC7" i="14" s="1"/>
  <c r="BO7" i="14"/>
  <c r="Y9" i="14"/>
  <c r="AE9" i="14" s="1"/>
  <c r="U9" i="14"/>
  <c r="W9" i="14"/>
  <c r="AI9" i="14" s="1"/>
  <c r="I9" i="14"/>
  <c r="K9" i="14" s="1"/>
  <c r="M9" i="14" s="1"/>
  <c r="O9" i="14" s="1"/>
  <c r="Q9" i="14" s="1"/>
  <c r="R9" i="14" s="1"/>
  <c r="S9" i="14"/>
  <c r="AP9" i="14"/>
  <c r="AQ10" i="14"/>
  <c r="AB10" i="14"/>
  <c r="Y12" i="14"/>
  <c r="AE12" i="14" s="1"/>
  <c r="U12" i="14"/>
  <c r="X12" i="14"/>
  <c r="AC12" i="14" s="1"/>
  <c r="S12" i="14"/>
  <c r="W12" i="14"/>
  <c r="AI12" i="14" s="1"/>
  <c r="Y15" i="14"/>
  <c r="AE15" i="14" s="1"/>
  <c r="U15" i="14"/>
  <c r="T15" i="14"/>
  <c r="X15" i="14"/>
  <c r="AC15" i="14" s="1"/>
  <c r="BO15" i="14"/>
  <c r="Y17" i="14"/>
  <c r="AE17" i="14" s="1"/>
  <c r="U17" i="14"/>
  <c r="W17" i="14"/>
  <c r="AI17" i="14" s="1"/>
  <c r="I17" i="14"/>
  <c r="K17" i="14" s="1"/>
  <c r="M17" i="14" s="1"/>
  <c r="O17" i="14" s="1"/>
  <c r="Q17" i="14" s="1"/>
  <c r="R17" i="14" s="1"/>
  <c r="S17" i="14"/>
  <c r="AP17" i="14"/>
  <c r="AQ18" i="14"/>
  <c r="AB18" i="14"/>
  <c r="Y20" i="14"/>
  <c r="AE20" i="14" s="1"/>
  <c r="U20" i="14"/>
  <c r="X20" i="14"/>
  <c r="AC20" i="14" s="1"/>
  <c r="S20" i="14"/>
  <c r="W20" i="14"/>
  <c r="AI20" i="14" s="1"/>
  <c r="Y23" i="14"/>
  <c r="AE23" i="14" s="1"/>
  <c r="U23" i="14"/>
  <c r="T23" i="14"/>
  <c r="X23" i="14"/>
  <c r="AC23" i="14" s="1"/>
  <c r="Y25" i="14"/>
  <c r="AE25" i="14" s="1"/>
  <c r="U25" i="14"/>
  <c r="W25" i="14"/>
  <c r="AI25" i="14" s="1"/>
  <c r="I25" i="14"/>
  <c r="K25" i="14" s="1"/>
  <c r="M25" i="14" s="1"/>
  <c r="O25" i="14" s="1"/>
  <c r="Q25" i="14" s="1"/>
  <c r="R25" i="14" s="1"/>
  <c r="S25" i="14"/>
  <c r="AQ26" i="14"/>
  <c r="AB26" i="14"/>
  <c r="AQ36" i="14"/>
  <c r="AB36" i="14"/>
  <c r="Y41" i="14"/>
  <c r="AE41" i="14" s="1"/>
  <c r="U41" i="14"/>
  <c r="T41" i="14"/>
  <c r="AA41" i="14"/>
  <c r="AG41" i="14" s="1"/>
  <c r="V41" i="14"/>
  <c r="W41" i="14"/>
  <c r="AI41" i="14" s="1"/>
  <c r="S41" i="14"/>
  <c r="I41" i="14"/>
  <c r="K41" i="14" s="1"/>
  <c r="M41" i="14" s="1"/>
  <c r="O41" i="14" s="1"/>
  <c r="Q41" i="14" s="1"/>
  <c r="R41" i="14" s="1"/>
  <c r="X41" i="14"/>
  <c r="AC41" i="14" s="1"/>
  <c r="AH54" i="14"/>
  <c r="Y31" i="14"/>
  <c r="AE31" i="14" s="1"/>
  <c r="U31" i="14"/>
  <c r="W31" i="14"/>
  <c r="AI31" i="14" s="1"/>
  <c r="S31" i="14"/>
  <c r="I31" i="14"/>
  <c r="K31" i="14" s="1"/>
  <c r="M31" i="14" s="1"/>
  <c r="O31" i="14" s="1"/>
  <c r="Q31" i="14" s="1"/>
  <c r="R31" i="14" s="1"/>
  <c r="V31" i="14"/>
  <c r="T31" i="14"/>
  <c r="Y33" i="14"/>
  <c r="AE33" i="14" s="1"/>
  <c r="U33" i="14"/>
  <c r="T33" i="14"/>
  <c r="AA33" i="14"/>
  <c r="AG33" i="14" s="1"/>
  <c r="V33" i="14"/>
  <c r="S33" i="14"/>
  <c r="I33" i="14"/>
  <c r="K33" i="14" s="1"/>
  <c r="M33" i="14" s="1"/>
  <c r="O33" i="14" s="1"/>
  <c r="Q33" i="14" s="1"/>
  <c r="R33" i="14" s="1"/>
  <c r="W33" i="14"/>
  <c r="AI33" i="14" s="1"/>
  <c r="BI33" i="14"/>
  <c r="BL33" i="14" s="1"/>
  <c r="BO33" i="14" s="1"/>
  <c r="M36" i="14"/>
  <c r="O36" i="14" s="1"/>
  <c r="Q36" i="14" s="1"/>
  <c r="R36" i="14" s="1"/>
  <c r="M37" i="14"/>
  <c r="O37" i="14" s="1"/>
  <c r="Q37" i="14" s="1"/>
  <c r="R37" i="14" s="1"/>
  <c r="AH39" i="14"/>
  <c r="BI41" i="14"/>
  <c r="BL41" i="14" s="1"/>
  <c r="BO41" i="14" s="1"/>
  <c r="BI44" i="14"/>
  <c r="BL44" i="14" s="1"/>
  <c r="BO44" i="14" s="1"/>
  <c r="M45" i="14"/>
  <c r="O45" i="14" s="1"/>
  <c r="Q45" i="14" s="1"/>
  <c r="R45" i="14" s="1"/>
  <c r="AQ53" i="14"/>
  <c r="AB53" i="14"/>
  <c r="BI63" i="14"/>
  <c r="BL63" i="14" s="1"/>
  <c r="BO63" i="14" s="1"/>
  <c r="AD66" i="14"/>
  <c r="Y6" i="14"/>
  <c r="AE6" i="14" s="1"/>
  <c r="U6" i="14"/>
  <c r="V6" i="14"/>
  <c r="AA6" i="14"/>
  <c r="AG6" i="14" s="1"/>
  <c r="Y10" i="14"/>
  <c r="AE10" i="14" s="1"/>
  <c r="U10" i="14"/>
  <c r="V10" i="14"/>
  <c r="AA10" i="14"/>
  <c r="AG10" i="14" s="1"/>
  <c r="Y14" i="14"/>
  <c r="AE14" i="14" s="1"/>
  <c r="U14" i="14"/>
  <c r="V14" i="14"/>
  <c r="AA14" i="14"/>
  <c r="AG14" i="14" s="1"/>
  <c r="Y18" i="14"/>
  <c r="AE18" i="14" s="1"/>
  <c r="U18" i="14"/>
  <c r="V18" i="14"/>
  <c r="AA18" i="14"/>
  <c r="AG18" i="14" s="1"/>
  <c r="Y22" i="14"/>
  <c r="AE22" i="14" s="1"/>
  <c r="U22" i="14"/>
  <c r="V22" i="14"/>
  <c r="AP22" i="14" s="1"/>
  <c r="AR22" i="14" s="1"/>
  <c r="AA22" i="14"/>
  <c r="AG22" i="14" s="1"/>
  <c r="Y26" i="14"/>
  <c r="AE26" i="14" s="1"/>
  <c r="U26" i="14"/>
  <c r="V26" i="14"/>
  <c r="AA26" i="14"/>
  <c r="AG26" i="14" s="1"/>
  <c r="BI29" i="14"/>
  <c r="BL29" i="14" s="1"/>
  <c r="BO29" i="14" s="1"/>
  <c r="AQ34" i="14"/>
  <c r="AB34" i="14"/>
  <c r="BI36" i="14"/>
  <c r="BL36" i="14" s="1"/>
  <c r="BO36" i="14" s="1"/>
  <c r="Y38" i="14"/>
  <c r="AE38" i="14" s="1"/>
  <c r="U38" i="14"/>
  <c r="X38" i="14"/>
  <c r="AC38" i="14" s="1"/>
  <c r="S38" i="14"/>
  <c r="AA38" i="14"/>
  <c r="AG38" i="14" s="1"/>
  <c r="T38" i="14"/>
  <c r="BO45" i="14"/>
  <c r="BO49" i="14"/>
  <c r="AQ52" i="14"/>
  <c r="AB52" i="14"/>
  <c r="BO53" i="14"/>
  <c r="BI58" i="14"/>
  <c r="BL58" i="14" s="1"/>
  <c r="AQ60" i="14"/>
  <c r="AB60" i="14"/>
  <c r="AD62" i="14"/>
  <c r="Y28" i="14"/>
  <c r="AE28" i="14" s="1"/>
  <c r="U28" i="14"/>
  <c r="V28" i="14"/>
  <c r="AA28" i="14"/>
  <c r="AG28" i="14" s="1"/>
  <c r="AQ32" i="14"/>
  <c r="AB32" i="14"/>
  <c r="Y34" i="14"/>
  <c r="AE34" i="14" s="1"/>
  <c r="U34" i="14"/>
  <c r="X34" i="14"/>
  <c r="AC34" i="14" s="1"/>
  <c r="S34" i="14"/>
  <c r="W34" i="14"/>
  <c r="AI34" i="14" s="1"/>
  <c r="Y37" i="14"/>
  <c r="AE37" i="14" s="1"/>
  <c r="U37" i="14"/>
  <c r="T37" i="14"/>
  <c r="X37" i="14"/>
  <c r="AC37" i="14" s="1"/>
  <c r="BO37" i="14"/>
  <c r="Y39" i="14"/>
  <c r="AE39" i="14" s="1"/>
  <c r="U39" i="14"/>
  <c r="W39" i="14"/>
  <c r="AI39" i="14" s="1"/>
  <c r="I39" i="14"/>
  <c r="K39" i="14" s="1"/>
  <c r="M39" i="14" s="1"/>
  <c r="O39" i="14" s="1"/>
  <c r="Q39" i="14" s="1"/>
  <c r="R39" i="14" s="1"/>
  <c r="S39" i="14"/>
  <c r="AQ40" i="14"/>
  <c r="AB40" i="14"/>
  <c r="Y43" i="14"/>
  <c r="AE43" i="14" s="1"/>
  <c r="U43" i="14"/>
  <c r="W43" i="14"/>
  <c r="AI43" i="14" s="1"/>
  <c r="I43" i="14"/>
  <c r="K43" i="14" s="1"/>
  <c r="M43" i="14" s="1"/>
  <c r="O43" i="14" s="1"/>
  <c r="Q43" i="14" s="1"/>
  <c r="R43" i="14" s="1"/>
  <c r="AA43" i="14"/>
  <c r="AG43" i="14" s="1"/>
  <c r="T43" i="14"/>
  <c r="S43" i="14"/>
  <c r="BI45" i="14"/>
  <c r="BL45" i="14" s="1"/>
  <c r="AH46" i="14"/>
  <c r="AQ47" i="14"/>
  <c r="AB47" i="14"/>
  <c r="BI48" i="14"/>
  <c r="BL48" i="14" s="1"/>
  <c r="BO48" i="14" s="1"/>
  <c r="M52" i="14"/>
  <c r="O52" i="14" s="1"/>
  <c r="Q52" i="14" s="1"/>
  <c r="R52" i="14" s="1"/>
  <c r="Y55" i="14"/>
  <c r="AE55" i="14" s="1"/>
  <c r="U55" i="14"/>
  <c r="X55" i="14"/>
  <c r="AC55" i="14" s="1"/>
  <c r="S55" i="14"/>
  <c r="V55" i="14"/>
  <c r="AA55" i="14"/>
  <c r="AG55" i="14" s="1"/>
  <c r="T55" i="14"/>
  <c r="W55" i="14"/>
  <c r="AI55" i="14" s="1"/>
  <c r="Y60" i="14"/>
  <c r="AE60" i="14" s="1"/>
  <c r="U60" i="14"/>
  <c r="W60" i="14"/>
  <c r="AI60" i="14" s="1"/>
  <c r="I60" i="14"/>
  <c r="K60" i="14" s="1"/>
  <c r="M60" i="14" s="1"/>
  <c r="O60" i="14" s="1"/>
  <c r="Q60" i="14" s="1"/>
  <c r="R60" i="14" s="1"/>
  <c r="X60" i="14"/>
  <c r="AC60" i="14" s="1"/>
  <c r="V60" i="14"/>
  <c r="S60" i="14"/>
  <c r="AA60" i="14"/>
  <c r="AG60" i="14" s="1"/>
  <c r="BI61" i="14"/>
  <c r="BL61" i="14" s="1"/>
  <c r="BO61" i="14" s="1"/>
  <c r="BI65" i="14"/>
  <c r="BL65" i="14" s="1"/>
  <c r="BO65" i="14" s="1"/>
  <c r="Y46" i="14"/>
  <c r="AE46" i="14" s="1"/>
  <c r="U46" i="14"/>
  <c r="X46" i="14"/>
  <c r="AC46" i="14" s="1"/>
  <c r="S46" i="14"/>
  <c r="W46" i="14"/>
  <c r="AI46" i="14" s="1"/>
  <c r="I46" i="14"/>
  <c r="K46" i="14" s="1"/>
  <c r="M46" i="14" s="1"/>
  <c r="O46" i="14" s="1"/>
  <c r="Q46" i="14" s="1"/>
  <c r="R46" i="14" s="1"/>
  <c r="T46" i="14"/>
  <c r="BI49" i="14"/>
  <c r="BL49" i="14" s="1"/>
  <c r="AQ51" i="14"/>
  <c r="AB51" i="14"/>
  <c r="BI53" i="14"/>
  <c r="BL53" i="14" s="1"/>
  <c r="Y58" i="14"/>
  <c r="AE58" i="14" s="1"/>
  <c r="U58" i="14"/>
  <c r="T58" i="14"/>
  <c r="W58" i="14"/>
  <c r="AI58" i="14" s="1"/>
  <c r="AA58" i="14"/>
  <c r="AG58" i="14" s="1"/>
  <c r="V58" i="14"/>
  <c r="S58" i="14"/>
  <c r="BO58" i="14"/>
  <c r="AB59" i="14"/>
  <c r="AD64" i="14"/>
  <c r="BF64" i="14"/>
  <c r="AQ44" i="14"/>
  <c r="Y47" i="14"/>
  <c r="AE47" i="14" s="1"/>
  <c r="U47" i="14"/>
  <c r="V47" i="14"/>
  <c r="AA47" i="14"/>
  <c r="AG47" i="14" s="1"/>
  <c r="AQ48" i="14"/>
  <c r="Y51" i="14"/>
  <c r="AE51" i="14" s="1"/>
  <c r="U51" i="14"/>
  <c r="V51" i="14"/>
  <c r="AA51" i="14"/>
  <c r="AG51" i="14" s="1"/>
  <c r="AH52" i="14"/>
  <c r="Y54" i="14"/>
  <c r="AE54" i="14" s="1"/>
  <c r="U54" i="14"/>
  <c r="T54" i="14"/>
  <c r="X54" i="14"/>
  <c r="AC54" i="14" s="1"/>
  <c r="BO54" i="14"/>
  <c r="Y56" i="14"/>
  <c r="AE56" i="14" s="1"/>
  <c r="U56" i="14"/>
  <c r="W56" i="14"/>
  <c r="AI56" i="14" s="1"/>
  <c r="I56" i="14"/>
  <c r="K56" i="14" s="1"/>
  <c r="M56" i="14" s="1"/>
  <c r="O56" i="14" s="1"/>
  <c r="Q56" i="14" s="1"/>
  <c r="R56" i="14" s="1"/>
  <c r="S56" i="14"/>
  <c r="AQ57" i="14"/>
  <c r="AB57" i="14"/>
  <c r="M58" i="14"/>
  <c r="O58" i="14" s="1"/>
  <c r="Q58" i="14" s="1"/>
  <c r="R58" i="14" s="1"/>
  <c r="Y59" i="14"/>
  <c r="AE59" i="14" s="1"/>
  <c r="U59" i="14"/>
  <c r="X59" i="14"/>
  <c r="AC59" i="14" s="1"/>
  <c r="S59" i="14"/>
  <c r="W59" i="14"/>
  <c r="AI59" i="14" s="1"/>
  <c r="BI62" i="14"/>
  <c r="BL62" i="14" s="1"/>
  <c r="BO62" i="14" s="1"/>
  <c r="BI64" i="14"/>
  <c r="BL64" i="14" s="1"/>
  <c r="BO64" i="14" s="1"/>
  <c r="BI66" i="14"/>
  <c r="BL66" i="14" s="1"/>
  <c r="BO66" i="14" s="1"/>
  <c r="Y32" i="14"/>
  <c r="AE32" i="14" s="1"/>
  <c r="U32" i="14"/>
  <c r="V32" i="14"/>
  <c r="AA32" i="14"/>
  <c r="AG32" i="14" s="1"/>
  <c r="Y36" i="14"/>
  <c r="AE36" i="14" s="1"/>
  <c r="U36" i="14"/>
  <c r="V36" i="14"/>
  <c r="AA36" i="14"/>
  <c r="AG36" i="14" s="1"/>
  <c r="Y40" i="14"/>
  <c r="AE40" i="14" s="1"/>
  <c r="U40" i="14"/>
  <c r="V40" i="14"/>
  <c r="AA40" i="14"/>
  <c r="AG40" i="14" s="1"/>
  <c r="Y44" i="14"/>
  <c r="AE44" i="14" s="1"/>
  <c r="U44" i="14"/>
  <c r="V44" i="14"/>
  <c r="AA44" i="14"/>
  <c r="AG44" i="14" s="1"/>
  <c r="I47" i="14"/>
  <c r="K47" i="14" s="1"/>
  <c r="M47" i="14" s="1"/>
  <c r="O47" i="14" s="1"/>
  <c r="Q47" i="14" s="1"/>
  <c r="R47" i="14" s="1"/>
  <c r="W47" i="14"/>
  <c r="AI47" i="14" s="1"/>
  <c r="Y48" i="14"/>
  <c r="AE48" i="14" s="1"/>
  <c r="U48" i="14"/>
  <c r="V48" i="14"/>
  <c r="AA48" i="14"/>
  <c r="AG48" i="14" s="1"/>
  <c r="I51" i="14"/>
  <c r="K51" i="14" s="1"/>
  <c r="M51" i="14" s="1"/>
  <c r="O51" i="14" s="1"/>
  <c r="Q51" i="14" s="1"/>
  <c r="R51" i="14" s="1"/>
  <c r="W51" i="14"/>
  <c r="AI51" i="14" s="1"/>
  <c r="Y52" i="14"/>
  <c r="AE52" i="14" s="1"/>
  <c r="U52" i="14"/>
  <c r="W52" i="14"/>
  <c r="AI52" i="14" s="1"/>
  <c r="X52" i="14"/>
  <c r="AC52" i="14" s="1"/>
  <c r="I54" i="14"/>
  <c r="K54" i="14" s="1"/>
  <c r="M54" i="14" s="1"/>
  <c r="O54" i="14" s="1"/>
  <c r="Q54" i="14" s="1"/>
  <c r="R54" i="14" s="1"/>
  <c r="S54" i="14"/>
  <c r="BI54" i="14"/>
  <c r="BL54" i="14" s="1"/>
  <c r="T56" i="14"/>
  <c r="AA56" i="14"/>
  <c r="AG56" i="14" s="1"/>
  <c r="I59" i="14"/>
  <c r="K59" i="14" s="1"/>
  <c r="M59" i="14" s="1"/>
  <c r="O59" i="14" s="1"/>
  <c r="Q59" i="14" s="1"/>
  <c r="R59" i="14" s="1"/>
  <c r="Y53" i="14"/>
  <c r="AE53" i="14" s="1"/>
  <c r="U53" i="14"/>
  <c r="V53" i="14"/>
  <c r="AA53" i="14"/>
  <c r="AG53" i="14" s="1"/>
  <c r="Y57" i="14"/>
  <c r="AE57" i="14" s="1"/>
  <c r="U57" i="14"/>
  <c r="V57" i="14"/>
  <c r="AA57" i="14"/>
  <c r="AG57" i="14" s="1"/>
  <c r="BF61" i="14"/>
  <c r="BF63" i="14"/>
  <c r="BF65" i="14"/>
  <c r="BF67" i="14"/>
  <c r="BI67" i="14" s="1"/>
  <c r="BL67" i="14" s="1"/>
  <c r="BO67" i="14" s="1"/>
  <c r="AH61" i="14"/>
  <c r="T61" i="14"/>
  <c r="Y61" i="14"/>
  <c r="AE61" i="14" s="1"/>
  <c r="AH62" i="14"/>
  <c r="T62" i="14"/>
  <c r="Y62" i="14"/>
  <c r="AE62" i="14" s="1"/>
  <c r="AH63" i="14"/>
  <c r="T63" i="14"/>
  <c r="Y63" i="14"/>
  <c r="AE63" i="14" s="1"/>
  <c r="AH64" i="14"/>
  <c r="T64" i="14"/>
  <c r="Y64" i="14"/>
  <c r="AE64" i="14" s="1"/>
  <c r="AH65" i="14"/>
  <c r="T65" i="14"/>
  <c r="Y65" i="14"/>
  <c r="AE65" i="14" s="1"/>
  <c r="AH66" i="14"/>
  <c r="T66" i="14"/>
  <c r="Y66" i="14"/>
  <c r="AE66" i="14" s="1"/>
  <c r="AH67" i="14"/>
  <c r="T67" i="14"/>
  <c r="Y67" i="14"/>
  <c r="AE67" i="14" s="1"/>
  <c r="AQ68" i="14"/>
  <c r="AB68" i="14"/>
  <c r="AH68" i="14"/>
  <c r="S68" i="14"/>
  <c r="W68" i="14"/>
  <c r="AI68" i="14" s="1"/>
  <c r="AR17" i="14" l="1"/>
  <c r="AR9" i="14"/>
  <c r="AD54" i="14"/>
  <c r="AQ59" i="14"/>
  <c r="AH60" i="14"/>
  <c r="AD60" i="14"/>
  <c r="AQ43" i="14"/>
  <c r="AB43" i="14"/>
  <c r="AP43" i="14"/>
  <c r="AR43" i="14" s="1"/>
  <c r="AD43" i="14"/>
  <c r="AD26" i="14"/>
  <c r="AD22" i="14"/>
  <c r="AD18" i="14"/>
  <c r="AD14" i="14"/>
  <c r="AD10" i="14"/>
  <c r="AD6" i="14"/>
  <c r="AD33" i="14"/>
  <c r="AQ41" i="14"/>
  <c r="AP41" i="14"/>
  <c r="AR41" i="14" s="1"/>
  <c r="AB41" i="14"/>
  <c r="AD25" i="14"/>
  <c r="AQ23" i="14"/>
  <c r="AP23" i="14"/>
  <c r="AR23" i="14" s="1"/>
  <c r="AB23" i="14"/>
  <c r="AD17" i="14"/>
  <c r="AQ15" i="14"/>
  <c r="AB15" i="14"/>
  <c r="AP15" i="14"/>
  <c r="AR15" i="14" s="1"/>
  <c r="AD9" i="14"/>
  <c r="AH50" i="14"/>
  <c r="AH42" i="14"/>
  <c r="AH8" i="14"/>
  <c r="AD19" i="14"/>
  <c r="AH35" i="14"/>
  <c r="AD21" i="14"/>
  <c r="AP67" i="14"/>
  <c r="AR67" i="14" s="1"/>
  <c r="AQ67" i="14"/>
  <c r="AB67" i="14"/>
  <c r="AP65" i="14"/>
  <c r="AR65" i="14" s="1"/>
  <c r="AQ65" i="14"/>
  <c r="AB65" i="14"/>
  <c r="AP63" i="14"/>
  <c r="AR63" i="14" s="1"/>
  <c r="AQ63" i="14"/>
  <c r="AB63" i="14"/>
  <c r="AP61" i="14"/>
  <c r="AR61" i="14" s="1"/>
  <c r="AQ61" i="14"/>
  <c r="AB61" i="14"/>
  <c r="AP44" i="14"/>
  <c r="AR44" i="14" s="1"/>
  <c r="AS44" i="14" s="1"/>
  <c r="AT44" i="14" s="1"/>
  <c r="AU44" i="14" s="1"/>
  <c r="AV44" i="14" s="1"/>
  <c r="AW44" i="14" s="1"/>
  <c r="AX44" i="14" s="1"/>
  <c r="AY44" i="14" s="1"/>
  <c r="AZ44" i="14" s="1"/>
  <c r="BA44" i="14" s="1"/>
  <c r="BP44" i="14" s="1"/>
  <c r="BQ44" i="14" s="1"/>
  <c r="BR44" i="14" s="1"/>
  <c r="AH44" i="14"/>
  <c r="AP32" i="14"/>
  <c r="AR32" i="14" s="1"/>
  <c r="AS32" i="14" s="1"/>
  <c r="AT32" i="14" s="1"/>
  <c r="AU32" i="14" s="1"/>
  <c r="AV32" i="14" s="1"/>
  <c r="AW32" i="14" s="1"/>
  <c r="AX32" i="14" s="1"/>
  <c r="AY32" i="14" s="1"/>
  <c r="AZ32" i="14" s="1"/>
  <c r="BA32" i="14" s="1"/>
  <c r="BP32" i="14" s="1"/>
  <c r="BQ32" i="14" s="1"/>
  <c r="BR32" i="14" s="1"/>
  <c r="AH32" i="14"/>
  <c r="AQ46" i="14"/>
  <c r="AP46" i="14"/>
  <c r="AR46" i="14" s="1"/>
  <c r="AB46" i="14"/>
  <c r="AD39" i="14"/>
  <c r="AQ37" i="14"/>
  <c r="AB37" i="14"/>
  <c r="AP37" i="14"/>
  <c r="AR37" i="14" s="1"/>
  <c r="AD38" i="14"/>
  <c r="AH33" i="14"/>
  <c r="AD41" i="14"/>
  <c r="AD23" i="14"/>
  <c r="AD15" i="14"/>
  <c r="AD7" i="14"/>
  <c r="AH49" i="14"/>
  <c r="AQ49" i="14"/>
  <c r="AP49" i="14"/>
  <c r="AR49" i="14" s="1"/>
  <c r="AB49" i="14"/>
  <c r="AH29" i="14"/>
  <c r="AQ29" i="14"/>
  <c r="AP29" i="14"/>
  <c r="AR29" i="14" s="1"/>
  <c r="AB29" i="14"/>
  <c r="AQ17" i="14"/>
  <c r="AQ9" i="14"/>
  <c r="AQ21" i="14"/>
  <c r="AB21" i="14"/>
  <c r="AP21" i="14"/>
  <c r="AR21" i="14" s="1"/>
  <c r="AP14" i="14"/>
  <c r="AR14" i="14" s="1"/>
  <c r="AQ8" i="14"/>
  <c r="AP8" i="14"/>
  <c r="AR8" i="14" s="1"/>
  <c r="AB8" i="14"/>
  <c r="AD8" i="14"/>
  <c r="AQ24" i="14"/>
  <c r="AP24" i="14"/>
  <c r="AR24" i="14" s="1"/>
  <c r="AB24" i="14"/>
  <c r="AD24" i="14"/>
  <c r="AH19" i="14"/>
  <c r="AQ35" i="14"/>
  <c r="AB35" i="14"/>
  <c r="AP35" i="14"/>
  <c r="AR35" i="14" s="1"/>
  <c r="AH21" i="14"/>
  <c r="AQ11" i="14"/>
  <c r="AP11" i="14"/>
  <c r="AR11" i="14" s="1"/>
  <c r="AB11" i="14"/>
  <c r="AD57" i="14"/>
  <c r="AD53" i="14"/>
  <c r="AQ56" i="14"/>
  <c r="AB56" i="14"/>
  <c r="AP56" i="14"/>
  <c r="AR56" i="14" s="1"/>
  <c r="AH48" i="14"/>
  <c r="AP48" i="14"/>
  <c r="AR48" i="14" s="1"/>
  <c r="AS48" i="14" s="1"/>
  <c r="AT48" i="14" s="1"/>
  <c r="AU48" i="14" s="1"/>
  <c r="AV48" i="14" s="1"/>
  <c r="AW48" i="14" s="1"/>
  <c r="AX48" i="14" s="1"/>
  <c r="AY48" i="14" s="1"/>
  <c r="AZ48" i="14" s="1"/>
  <c r="BA48" i="14" s="1"/>
  <c r="BP48" i="14" s="1"/>
  <c r="BQ48" i="14" s="1"/>
  <c r="BR48" i="14" s="1"/>
  <c r="AD44" i="14"/>
  <c r="AD40" i="14"/>
  <c r="AD36" i="14"/>
  <c r="AD32" i="14"/>
  <c r="AD59" i="14"/>
  <c r="AD51" i="14"/>
  <c r="AH47" i="14"/>
  <c r="AP47" i="14"/>
  <c r="AR47" i="14" s="1"/>
  <c r="AS47" i="14" s="1"/>
  <c r="AT47" i="14" s="1"/>
  <c r="AU47" i="14" s="1"/>
  <c r="AV47" i="14" s="1"/>
  <c r="AW47" i="14" s="1"/>
  <c r="AX47" i="14" s="1"/>
  <c r="AY47" i="14" s="1"/>
  <c r="AZ47" i="14" s="1"/>
  <c r="BA47" i="14" s="1"/>
  <c r="BP47" i="14" s="1"/>
  <c r="BQ47" i="14" s="1"/>
  <c r="BR47" i="14" s="1"/>
  <c r="AQ58" i="14"/>
  <c r="AP58" i="14"/>
  <c r="AR58" i="14" s="1"/>
  <c r="AB58" i="14"/>
  <c r="AD46" i="14"/>
  <c r="AD55" i="14"/>
  <c r="AD37" i="14"/>
  <c r="AH28" i="14"/>
  <c r="AQ31" i="14"/>
  <c r="AB31" i="14"/>
  <c r="AP31" i="14"/>
  <c r="AR31" i="14" s="1"/>
  <c r="AH41" i="14"/>
  <c r="AD20" i="14"/>
  <c r="AD12" i="14"/>
  <c r="AD50" i="14"/>
  <c r="AD49" i="14"/>
  <c r="AD29" i="14"/>
  <c r="AD13" i="14"/>
  <c r="AP20" i="14"/>
  <c r="AR20" i="14" s="1"/>
  <c r="AH16" i="14"/>
  <c r="AH27" i="14"/>
  <c r="AQ27" i="14"/>
  <c r="AB27" i="14"/>
  <c r="AP27" i="14"/>
  <c r="AR27" i="14" s="1"/>
  <c r="AP12" i="14"/>
  <c r="AR12" i="14" s="1"/>
  <c r="AD11" i="14"/>
  <c r="AD52" i="14"/>
  <c r="AQ7" i="14"/>
  <c r="AP7" i="14"/>
  <c r="AR7" i="14" s="1"/>
  <c r="AB7" i="14"/>
  <c r="AD45" i="14"/>
  <c r="AQ25" i="14"/>
  <c r="AB25" i="14"/>
  <c r="AP25" i="14"/>
  <c r="AR25" i="14" s="1"/>
  <c r="AH30" i="14"/>
  <c r="AH24" i="14"/>
  <c r="AP66" i="14"/>
  <c r="AR66" i="14" s="1"/>
  <c r="AB66" i="14"/>
  <c r="AQ66" i="14"/>
  <c r="AP64" i="14"/>
  <c r="AR64" i="14" s="1"/>
  <c r="AB64" i="14"/>
  <c r="AQ64" i="14"/>
  <c r="AP62" i="14"/>
  <c r="AR62" i="14" s="1"/>
  <c r="AB62" i="14"/>
  <c r="AQ62" i="14"/>
  <c r="AP57" i="14"/>
  <c r="AR57" i="14" s="1"/>
  <c r="AS57" i="14" s="1"/>
  <c r="AT57" i="14" s="1"/>
  <c r="AU57" i="14" s="1"/>
  <c r="AV57" i="14" s="1"/>
  <c r="AW57" i="14" s="1"/>
  <c r="AX57" i="14" s="1"/>
  <c r="AY57" i="14" s="1"/>
  <c r="AZ57" i="14" s="1"/>
  <c r="BA57" i="14" s="1"/>
  <c r="BP57" i="14" s="1"/>
  <c r="BQ57" i="14" s="1"/>
  <c r="BR57" i="14" s="1"/>
  <c r="AH57" i="14"/>
  <c r="AH53" i="14"/>
  <c r="AH40" i="14"/>
  <c r="AP40" i="14"/>
  <c r="AR40" i="14" s="1"/>
  <c r="AS40" i="14" s="1"/>
  <c r="AT40" i="14" s="1"/>
  <c r="AU40" i="14" s="1"/>
  <c r="AV40" i="14" s="1"/>
  <c r="AW40" i="14" s="1"/>
  <c r="AX40" i="14" s="1"/>
  <c r="AY40" i="14" s="1"/>
  <c r="AZ40" i="14" s="1"/>
  <c r="BA40" i="14" s="1"/>
  <c r="BP40" i="14" s="1"/>
  <c r="BQ40" i="14" s="1"/>
  <c r="BR40" i="14" s="1"/>
  <c r="AH36" i="14"/>
  <c r="AP36" i="14"/>
  <c r="AR36" i="14" s="1"/>
  <c r="AS36" i="14" s="1"/>
  <c r="AT36" i="14" s="1"/>
  <c r="AU36" i="14" s="1"/>
  <c r="AV36" i="14" s="1"/>
  <c r="AW36" i="14" s="1"/>
  <c r="AX36" i="14" s="1"/>
  <c r="AY36" i="14" s="1"/>
  <c r="AZ36" i="14" s="1"/>
  <c r="BA36" i="14" s="1"/>
  <c r="BP36" i="14" s="1"/>
  <c r="BQ36" i="14" s="1"/>
  <c r="BR36" i="14" s="1"/>
  <c r="AH51" i="14"/>
  <c r="AP51" i="14"/>
  <c r="AR51" i="14" s="1"/>
  <c r="AS51" i="14" s="1"/>
  <c r="AT51" i="14" s="1"/>
  <c r="AU51" i="14" s="1"/>
  <c r="AV51" i="14" s="1"/>
  <c r="AW51" i="14" s="1"/>
  <c r="AX51" i="14" s="1"/>
  <c r="AY51" i="14" s="1"/>
  <c r="AZ51" i="14" s="1"/>
  <c r="BA51" i="14" s="1"/>
  <c r="BP51" i="14" s="1"/>
  <c r="BQ51" i="14" s="1"/>
  <c r="BR51" i="14" s="1"/>
  <c r="AQ55" i="14"/>
  <c r="AP55" i="14"/>
  <c r="AR55" i="14" s="1"/>
  <c r="AB55" i="14"/>
  <c r="AP52" i="14"/>
  <c r="AR52" i="14" s="1"/>
  <c r="AS52" i="14" s="1"/>
  <c r="AT52" i="14" s="1"/>
  <c r="AU52" i="14" s="1"/>
  <c r="AV52" i="14" s="1"/>
  <c r="AW52" i="14" s="1"/>
  <c r="AX52" i="14" s="1"/>
  <c r="AY52" i="14" s="1"/>
  <c r="AZ52" i="14" s="1"/>
  <c r="BA52" i="14" s="1"/>
  <c r="BP52" i="14" s="1"/>
  <c r="BQ52" i="14" s="1"/>
  <c r="BR52" i="14" s="1"/>
  <c r="AQ38" i="14"/>
  <c r="AP38" i="14"/>
  <c r="AR38" i="14" s="1"/>
  <c r="AB38" i="14"/>
  <c r="AD48" i="14"/>
  <c r="AD56" i="14"/>
  <c r="AQ54" i="14"/>
  <c r="AP54" i="14"/>
  <c r="AR54" i="14" s="1"/>
  <c r="AB54" i="14"/>
  <c r="AD47" i="14"/>
  <c r="AP59" i="14"/>
  <c r="AR59" i="14" s="1"/>
  <c r="AH58" i="14"/>
  <c r="AD58" i="14"/>
  <c r="AH55" i="14"/>
  <c r="AD34" i="14"/>
  <c r="AD28" i="14"/>
  <c r="AP60" i="14"/>
  <c r="AR60" i="14" s="1"/>
  <c r="AS60" i="14" s="1"/>
  <c r="AT60" i="14" s="1"/>
  <c r="AU60" i="14" s="1"/>
  <c r="AV60" i="14" s="1"/>
  <c r="AW60" i="14" s="1"/>
  <c r="AX60" i="14" s="1"/>
  <c r="AY60" i="14" s="1"/>
  <c r="AZ60" i="14" s="1"/>
  <c r="BA60" i="14" s="1"/>
  <c r="BP60" i="14" s="1"/>
  <c r="BQ60" i="14" s="1"/>
  <c r="BR60" i="14" s="1"/>
  <c r="AP34" i="14"/>
  <c r="AR34" i="14" s="1"/>
  <c r="AS34" i="14" s="1"/>
  <c r="AT34" i="14" s="1"/>
  <c r="AU34" i="14" s="1"/>
  <c r="AV34" i="14" s="1"/>
  <c r="AW34" i="14" s="1"/>
  <c r="AX34" i="14" s="1"/>
  <c r="AY34" i="14" s="1"/>
  <c r="AZ34" i="14" s="1"/>
  <c r="BA34" i="14" s="1"/>
  <c r="BP34" i="14" s="1"/>
  <c r="BQ34" i="14" s="1"/>
  <c r="BR34" i="14" s="1"/>
  <c r="AP26" i="14"/>
  <c r="AR26" i="14" s="1"/>
  <c r="AS26" i="14" s="1"/>
  <c r="AT26" i="14" s="1"/>
  <c r="AU26" i="14" s="1"/>
  <c r="AV26" i="14" s="1"/>
  <c r="AW26" i="14" s="1"/>
  <c r="AX26" i="14" s="1"/>
  <c r="AY26" i="14" s="1"/>
  <c r="AZ26" i="14" s="1"/>
  <c r="BA26" i="14" s="1"/>
  <c r="BP26" i="14" s="1"/>
  <c r="BQ26" i="14" s="1"/>
  <c r="BR26" i="14" s="1"/>
  <c r="AH26" i="14"/>
  <c r="AH22" i="14"/>
  <c r="AP18" i="14"/>
  <c r="AR18" i="14" s="1"/>
  <c r="AH18" i="14"/>
  <c r="AH14" i="14"/>
  <c r="AP10" i="14"/>
  <c r="AR10" i="14" s="1"/>
  <c r="AS10" i="14" s="1"/>
  <c r="AT10" i="14" s="1"/>
  <c r="AU10" i="14" s="1"/>
  <c r="AV10" i="14" s="1"/>
  <c r="AW10" i="14" s="1"/>
  <c r="AX10" i="14" s="1"/>
  <c r="AY10" i="14" s="1"/>
  <c r="AZ10" i="14" s="1"/>
  <c r="BA10" i="14" s="1"/>
  <c r="BP10" i="14" s="1"/>
  <c r="BQ10" i="14" s="1"/>
  <c r="BR10" i="14" s="1"/>
  <c r="AH10" i="14"/>
  <c r="AH6" i="14"/>
  <c r="AP53" i="14"/>
  <c r="AR53" i="14" s="1"/>
  <c r="AS53" i="14" s="1"/>
  <c r="AT53" i="14" s="1"/>
  <c r="AU53" i="14" s="1"/>
  <c r="AV53" i="14" s="1"/>
  <c r="AW53" i="14" s="1"/>
  <c r="AX53" i="14" s="1"/>
  <c r="AY53" i="14" s="1"/>
  <c r="AZ53" i="14" s="1"/>
  <c r="BA53" i="14" s="1"/>
  <c r="BP53" i="14" s="1"/>
  <c r="BQ53" i="14" s="1"/>
  <c r="BR53" i="14" s="1"/>
  <c r="AQ33" i="14"/>
  <c r="AB33" i="14"/>
  <c r="AP33" i="14"/>
  <c r="AR33" i="14" s="1"/>
  <c r="AH31" i="14"/>
  <c r="AD31" i="14"/>
  <c r="AS18" i="14"/>
  <c r="AT18" i="14" s="1"/>
  <c r="AU18" i="14" s="1"/>
  <c r="AV18" i="14" s="1"/>
  <c r="AW18" i="14" s="1"/>
  <c r="AX18" i="14" s="1"/>
  <c r="AY18" i="14" s="1"/>
  <c r="AZ18" i="14" s="1"/>
  <c r="BA18" i="14" s="1"/>
  <c r="BP18" i="14" s="1"/>
  <c r="BQ18" i="14" s="1"/>
  <c r="BR18" i="14" s="1"/>
  <c r="AQ50" i="14"/>
  <c r="AP50" i="14"/>
  <c r="AR50" i="14" s="1"/>
  <c r="AB50" i="14"/>
  <c r="AQ42" i="14"/>
  <c r="AP42" i="14"/>
  <c r="AR42" i="14" s="1"/>
  <c r="AB42" i="14"/>
  <c r="AD42" i="14"/>
  <c r="AH45" i="14"/>
  <c r="AQ45" i="14"/>
  <c r="AP45" i="14"/>
  <c r="AR45" i="14" s="1"/>
  <c r="AB45" i="14"/>
  <c r="AP39" i="14"/>
  <c r="AR39" i="14" s="1"/>
  <c r="AS39" i="14" s="1"/>
  <c r="AT39" i="14" s="1"/>
  <c r="AU39" i="14" s="1"/>
  <c r="AV39" i="14" s="1"/>
  <c r="AW39" i="14" s="1"/>
  <c r="AX39" i="14" s="1"/>
  <c r="AY39" i="14" s="1"/>
  <c r="AZ39" i="14" s="1"/>
  <c r="BA39" i="14" s="1"/>
  <c r="BP39" i="14" s="1"/>
  <c r="BQ39" i="14" s="1"/>
  <c r="BR39" i="14" s="1"/>
  <c r="AQ30" i="14"/>
  <c r="AP30" i="14"/>
  <c r="AR30" i="14" s="1"/>
  <c r="AB30" i="14"/>
  <c r="AD30" i="14"/>
  <c r="AP6" i="14"/>
  <c r="AR6" i="14" s="1"/>
  <c r="AS6" i="14" s="1"/>
  <c r="AT6" i="14" s="1"/>
  <c r="AU6" i="14" s="1"/>
  <c r="AV6" i="14" s="1"/>
  <c r="AW6" i="14" s="1"/>
  <c r="AX6" i="14" s="1"/>
  <c r="AY6" i="14" s="1"/>
  <c r="AZ6" i="14" s="1"/>
  <c r="BA6" i="14" s="1"/>
  <c r="BP6" i="14" s="1"/>
  <c r="BQ6" i="14" s="1"/>
  <c r="BR6" i="14" s="1"/>
  <c r="AH13" i="14"/>
  <c r="AP13" i="14"/>
  <c r="AR13" i="14" s="1"/>
  <c r="AS13" i="14" s="1"/>
  <c r="AT13" i="14" s="1"/>
  <c r="AU13" i="14" s="1"/>
  <c r="AV13" i="14" s="1"/>
  <c r="AW13" i="14" s="1"/>
  <c r="AX13" i="14" s="1"/>
  <c r="AY13" i="14" s="1"/>
  <c r="AZ13" i="14" s="1"/>
  <c r="BA13" i="14" s="1"/>
  <c r="BP13" i="14" s="1"/>
  <c r="BQ13" i="14" s="1"/>
  <c r="BR13" i="14" s="1"/>
  <c r="AS14" i="14"/>
  <c r="AT14" i="14" s="1"/>
  <c r="AU14" i="14" s="1"/>
  <c r="AV14" i="14" s="1"/>
  <c r="AW14" i="14" s="1"/>
  <c r="AX14" i="14" s="1"/>
  <c r="AY14" i="14" s="1"/>
  <c r="AZ14" i="14" s="1"/>
  <c r="BA14" i="14" s="1"/>
  <c r="BP14" i="14" s="1"/>
  <c r="BQ14" i="14" s="1"/>
  <c r="BR14" i="14" s="1"/>
  <c r="AS22" i="14"/>
  <c r="AT22" i="14" s="1"/>
  <c r="AU22" i="14" s="1"/>
  <c r="AV22" i="14" s="1"/>
  <c r="AW22" i="14" s="1"/>
  <c r="AX22" i="14" s="1"/>
  <c r="AY22" i="14" s="1"/>
  <c r="AZ22" i="14" s="1"/>
  <c r="BA22" i="14" s="1"/>
  <c r="BP22" i="14" s="1"/>
  <c r="BQ22" i="14" s="1"/>
  <c r="BR22" i="14" s="1"/>
  <c r="AQ20" i="14"/>
  <c r="AQ19" i="14"/>
  <c r="AP19" i="14"/>
  <c r="AR19" i="14" s="1"/>
  <c r="AB19" i="14"/>
  <c r="AQ16" i="14"/>
  <c r="AP16" i="14"/>
  <c r="AR16" i="14" s="1"/>
  <c r="AB16" i="14"/>
  <c r="AD16" i="14"/>
  <c r="AD35" i="14"/>
  <c r="AP28" i="14"/>
  <c r="AR28" i="14" s="1"/>
  <c r="AS28" i="14" s="1"/>
  <c r="AT28" i="14" s="1"/>
  <c r="AU28" i="14" s="1"/>
  <c r="AV28" i="14" s="1"/>
  <c r="AW28" i="14" s="1"/>
  <c r="AX28" i="14" s="1"/>
  <c r="AY28" i="14" s="1"/>
  <c r="AZ28" i="14" s="1"/>
  <c r="BA28" i="14" s="1"/>
  <c r="BP28" i="14" s="1"/>
  <c r="BQ28" i="14" s="1"/>
  <c r="BR28" i="14" s="1"/>
  <c r="AD27" i="14"/>
  <c r="AQ12" i="14"/>
  <c r="AH11" i="14"/>
  <c r="AP68" i="14"/>
  <c r="AR68" i="14" s="1"/>
  <c r="AS68" i="14" s="1"/>
  <c r="AT68" i="14" s="1"/>
  <c r="AU68" i="14" s="1"/>
  <c r="AV68" i="14" s="1"/>
  <c r="AW68" i="14" s="1"/>
  <c r="AX68" i="14" s="1"/>
  <c r="AY68" i="14" s="1"/>
  <c r="AZ68" i="14" s="1"/>
  <c r="BA68" i="14" s="1"/>
  <c r="BP68" i="14" s="1"/>
  <c r="BQ68" i="14" s="1"/>
  <c r="BR68" i="14" s="1"/>
  <c r="AS16" i="14" l="1"/>
  <c r="AT16" i="14" s="1"/>
  <c r="AU16" i="14" s="1"/>
  <c r="AV16" i="14" s="1"/>
  <c r="AW16" i="14" s="1"/>
  <c r="AX16" i="14" s="1"/>
  <c r="AY16" i="14" s="1"/>
  <c r="AZ16" i="14" s="1"/>
  <c r="BA16" i="14" s="1"/>
  <c r="BP16" i="14" s="1"/>
  <c r="BQ16" i="14" s="1"/>
  <c r="BR16" i="14" s="1"/>
  <c r="AS30" i="14"/>
  <c r="AT30" i="14"/>
  <c r="AU30" i="14" s="1"/>
  <c r="AV30" i="14" s="1"/>
  <c r="AW30" i="14" s="1"/>
  <c r="AX30" i="14" s="1"/>
  <c r="AY30" i="14" s="1"/>
  <c r="AZ30" i="14" s="1"/>
  <c r="BA30" i="14" s="1"/>
  <c r="BP30" i="14" s="1"/>
  <c r="BQ30" i="14" s="1"/>
  <c r="BR30" i="14" s="1"/>
  <c r="AS55" i="14"/>
  <c r="AT55" i="14"/>
  <c r="AU55" i="14" s="1"/>
  <c r="AV55" i="14" s="1"/>
  <c r="AW55" i="14" s="1"/>
  <c r="AX55" i="14" s="1"/>
  <c r="AY55" i="14" s="1"/>
  <c r="AZ55" i="14" s="1"/>
  <c r="BA55" i="14" s="1"/>
  <c r="BP55" i="14" s="1"/>
  <c r="BQ55" i="14" s="1"/>
  <c r="BR55" i="14" s="1"/>
  <c r="AS62" i="14"/>
  <c r="AT62" i="14"/>
  <c r="AU62" i="14" s="1"/>
  <c r="AV62" i="14" s="1"/>
  <c r="AW62" i="14" s="1"/>
  <c r="AX62" i="14" s="1"/>
  <c r="AY62" i="14" s="1"/>
  <c r="AZ62" i="14" s="1"/>
  <c r="BA62" i="14" s="1"/>
  <c r="BP62" i="14" s="1"/>
  <c r="BQ62" i="14" s="1"/>
  <c r="BR62" i="14" s="1"/>
  <c r="AS64" i="14"/>
  <c r="AT64" i="14"/>
  <c r="AU64" i="14" s="1"/>
  <c r="AV64" i="14" s="1"/>
  <c r="AW64" i="14" s="1"/>
  <c r="AX64" i="14" s="1"/>
  <c r="AY64" i="14" s="1"/>
  <c r="AZ64" i="14" s="1"/>
  <c r="BA64" i="14" s="1"/>
  <c r="BP64" i="14" s="1"/>
  <c r="BQ64" i="14" s="1"/>
  <c r="BR64" i="14" s="1"/>
  <c r="AS66" i="14"/>
  <c r="AT66" i="14"/>
  <c r="AU66" i="14" s="1"/>
  <c r="AV66" i="14" s="1"/>
  <c r="AW66" i="14" s="1"/>
  <c r="AX66" i="14" s="1"/>
  <c r="AY66" i="14" s="1"/>
  <c r="AZ66" i="14" s="1"/>
  <c r="BA66" i="14" s="1"/>
  <c r="BP66" i="14" s="1"/>
  <c r="BQ66" i="14" s="1"/>
  <c r="BR66" i="14" s="1"/>
  <c r="AS24" i="14"/>
  <c r="AT24" i="14"/>
  <c r="AU24" i="14" s="1"/>
  <c r="AV24" i="14" s="1"/>
  <c r="AW24" i="14" s="1"/>
  <c r="AX24" i="14" s="1"/>
  <c r="AY24" i="14" s="1"/>
  <c r="AZ24" i="14" s="1"/>
  <c r="BA24" i="14" s="1"/>
  <c r="BP24" i="14" s="1"/>
  <c r="BQ24" i="14" s="1"/>
  <c r="BR24" i="14" s="1"/>
  <c r="AS21" i="14"/>
  <c r="AT21" i="14" s="1"/>
  <c r="AU21" i="14" s="1"/>
  <c r="AV21" i="14" s="1"/>
  <c r="AW21" i="14" s="1"/>
  <c r="AX21" i="14" s="1"/>
  <c r="AY21" i="14" s="1"/>
  <c r="AZ21" i="14" s="1"/>
  <c r="BA21" i="14" s="1"/>
  <c r="BP21" i="14" s="1"/>
  <c r="BQ21" i="14" s="1"/>
  <c r="BR21" i="14" s="1"/>
  <c r="AS17" i="14"/>
  <c r="AT17" i="14" s="1"/>
  <c r="AU17" i="14" s="1"/>
  <c r="AV17" i="14" s="1"/>
  <c r="AW17" i="14" s="1"/>
  <c r="AX17" i="14" s="1"/>
  <c r="AY17" i="14" s="1"/>
  <c r="AZ17" i="14" s="1"/>
  <c r="BA17" i="14" s="1"/>
  <c r="BP17" i="14" s="1"/>
  <c r="BQ17" i="14" s="1"/>
  <c r="BR17" i="14" s="1"/>
  <c r="AS29" i="14"/>
  <c r="AT29" i="14" s="1"/>
  <c r="AU29" i="14" s="1"/>
  <c r="AV29" i="14" s="1"/>
  <c r="AW29" i="14" s="1"/>
  <c r="AX29" i="14" s="1"/>
  <c r="AY29" i="14" s="1"/>
  <c r="AZ29" i="14" s="1"/>
  <c r="BA29" i="14" s="1"/>
  <c r="BP29" i="14" s="1"/>
  <c r="BQ29" i="14" s="1"/>
  <c r="BR29" i="14" s="1"/>
  <c r="AS37" i="14"/>
  <c r="AT37" i="14" s="1"/>
  <c r="AU37" i="14" s="1"/>
  <c r="AV37" i="14" s="1"/>
  <c r="AW37" i="14" s="1"/>
  <c r="AX37" i="14" s="1"/>
  <c r="AY37" i="14" s="1"/>
  <c r="AZ37" i="14" s="1"/>
  <c r="BA37" i="14" s="1"/>
  <c r="BP37" i="14" s="1"/>
  <c r="BQ37" i="14" s="1"/>
  <c r="BR37" i="14" s="1"/>
  <c r="AS41" i="14"/>
  <c r="AT41" i="14" s="1"/>
  <c r="AU41" i="14" s="1"/>
  <c r="AV41" i="14" s="1"/>
  <c r="AW41" i="14" s="1"/>
  <c r="AX41" i="14" s="1"/>
  <c r="AY41" i="14" s="1"/>
  <c r="AZ41" i="14" s="1"/>
  <c r="BA41" i="14" s="1"/>
  <c r="BP41" i="14" s="1"/>
  <c r="BQ41" i="14" s="1"/>
  <c r="BR41" i="14" s="1"/>
  <c r="AS19" i="14"/>
  <c r="AT19" i="14" s="1"/>
  <c r="AU19" i="14" s="1"/>
  <c r="AV19" i="14" s="1"/>
  <c r="AW19" i="14" s="1"/>
  <c r="AX19" i="14" s="1"/>
  <c r="AY19" i="14" s="1"/>
  <c r="AZ19" i="14" s="1"/>
  <c r="BA19" i="14" s="1"/>
  <c r="BP19" i="14" s="1"/>
  <c r="BQ19" i="14" s="1"/>
  <c r="BR19" i="14" s="1"/>
  <c r="AS45" i="14"/>
  <c r="AT45" i="14"/>
  <c r="AU45" i="14" s="1"/>
  <c r="AV45" i="14" s="1"/>
  <c r="AW45" i="14" s="1"/>
  <c r="AX45" i="14" s="1"/>
  <c r="AY45" i="14" s="1"/>
  <c r="AZ45" i="14" s="1"/>
  <c r="BA45" i="14" s="1"/>
  <c r="BP45" i="14" s="1"/>
  <c r="BQ45" i="14" s="1"/>
  <c r="BR45" i="14" s="1"/>
  <c r="AS25" i="14"/>
  <c r="AT25" i="14" s="1"/>
  <c r="AU25" i="14" s="1"/>
  <c r="AV25" i="14" s="1"/>
  <c r="AW25" i="14" s="1"/>
  <c r="AX25" i="14" s="1"/>
  <c r="AY25" i="14" s="1"/>
  <c r="AZ25" i="14" s="1"/>
  <c r="BA25" i="14" s="1"/>
  <c r="BP25" i="14" s="1"/>
  <c r="BQ25" i="14" s="1"/>
  <c r="BR25" i="14" s="1"/>
  <c r="AS7" i="14"/>
  <c r="AT7" i="14" s="1"/>
  <c r="AU7" i="14" s="1"/>
  <c r="AV7" i="14" s="1"/>
  <c r="AW7" i="14" s="1"/>
  <c r="AX7" i="14" s="1"/>
  <c r="AY7" i="14" s="1"/>
  <c r="AZ7" i="14" s="1"/>
  <c r="BA7" i="14" s="1"/>
  <c r="BP7" i="14" s="1"/>
  <c r="BQ7" i="14" s="1"/>
  <c r="BR7" i="14" s="1"/>
  <c r="AS12" i="14"/>
  <c r="AT12" i="14" s="1"/>
  <c r="AU12" i="14" s="1"/>
  <c r="AV12" i="14" s="1"/>
  <c r="AW12" i="14" s="1"/>
  <c r="AX12" i="14" s="1"/>
  <c r="AY12" i="14" s="1"/>
  <c r="AZ12" i="14" s="1"/>
  <c r="BA12" i="14" s="1"/>
  <c r="BP12" i="14" s="1"/>
  <c r="BQ12" i="14" s="1"/>
  <c r="BR12" i="14" s="1"/>
  <c r="AS20" i="14"/>
  <c r="AT20" i="14" s="1"/>
  <c r="AU20" i="14" s="1"/>
  <c r="AV20" i="14" s="1"/>
  <c r="AW20" i="14" s="1"/>
  <c r="AX20" i="14" s="1"/>
  <c r="AY20" i="14" s="1"/>
  <c r="AZ20" i="14" s="1"/>
  <c r="BA20" i="14" s="1"/>
  <c r="BP20" i="14" s="1"/>
  <c r="BQ20" i="14" s="1"/>
  <c r="BR20" i="14" s="1"/>
  <c r="AS42" i="14"/>
  <c r="AT42" i="14" s="1"/>
  <c r="AU42" i="14" s="1"/>
  <c r="AV42" i="14" s="1"/>
  <c r="AW42" i="14" s="1"/>
  <c r="AX42" i="14" s="1"/>
  <c r="AY42" i="14" s="1"/>
  <c r="AZ42" i="14" s="1"/>
  <c r="BA42" i="14" s="1"/>
  <c r="BP42" i="14" s="1"/>
  <c r="BQ42" i="14" s="1"/>
  <c r="BR42" i="14" s="1"/>
  <c r="AS50" i="14"/>
  <c r="AT50" i="14" s="1"/>
  <c r="AU50" i="14" s="1"/>
  <c r="AV50" i="14" s="1"/>
  <c r="AW50" i="14" s="1"/>
  <c r="AX50" i="14" s="1"/>
  <c r="AY50" i="14" s="1"/>
  <c r="AZ50" i="14" s="1"/>
  <c r="BA50" i="14" s="1"/>
  <c r="BP50" i="14" s="1"/>
  <c r="BQ50" i="14" s="1"/>
  <c r="BR50" i="14" s="1"/>
  <c r="AS33" i="14"/>
  <c r="AT33" i="14" s="1"/>
  <c r="AU33" i="14" s="1"/>
  <c r="AV33" i="14" s="1"/>
  <c r="AW33" i="14" s="1"/>
  <c r="AX33" i="14" s="1"/>
  <c r="AY33" i="14" s="1"/>
  <c r="AZ33" i="14" s="1"/>
  <c r="BA33" i="14" s="1"/>
  <c r="BP33" i="14" s="1"/>
  <c r="BQ33" i="14" s="1"/>
  <c r="BR33" i="14" s="1"/>
  <c r="AS54" i="14"/>
  <c r="AT54" i="14" s="1"/>
  <c r="AU54" i="14" s="1"/>
  <c r="AV54" i="14" s="1"/>
  <c r="AW54" i="14" s="1"/>
  <c r="AX54" i="14" s="1"/>
  <c r="AY54" i="14" s="1"/>
  <c r="AZ54" i="14" s="1"/>
  <c r="BA54" i="14" s="1"/>
  <c r="BP54" i="14" s="1"/>
  <c r="BQ54" i="14" s="1"/>
  <c r="BR54" i="14" s="1"/>
  <c r="AS38" i="14"/>
  <c r="AT38" i="14" s="1"/>
  <c r="AU38" i="14" s="1"/>
  <c r="AV38" i="14" s="1"/>
  <c r="AW38" i="14" s="1"/>
  <c r="AX38" i="14" s="1"/>
  <c r="AY38" i="14" s="1"/>
  <c r="AZ38" i="14" s="1"/>
  <c r="BA38" i="14" s="1"/>
  <c r="BP38" i="14" s="1"/>
  <c r="BQ38" i="14" s="1"/>
  <c r="BR38" i="14" s="1"/>
  <c r="AS31" i="14"/>
  <c r="AT31" i="14" s="1"/>
  <c r="AU31" i="14" s="1"/>
  <c r="AV31" i="14" s="1"/>
  <c r="AW31" i="14" s="1"/>
  <c r="AX31" i="14" s="1"/>
  <c r="AY31" i="14" s="1"/>
  <c r="AZ31" i="14" s="1"/>
  <c r="BA31" i="14" s="1"/>
  <c r="BP31" i="14" s="1"/>
  <c r="BQ31" i="14" s="1"/>
  <c r="BR31" i="14" s="1"/>
  <c r="AS56" i="14"/>
  <c r="AT56" i="14" s="1"/>
  <c r="AU56" i="14" s="1"/>
  <c r="AV56" i="14" s="1"/>
  <c r="AW56" i="14" s="1"/>
  <c r="AX56" i="14" s="1"/>
  <c r="AY56" i="14" s="1"/>
  <c r="AZ56" i="14" s="1"/>
  <c r="BA56" i="14" s="1"/>
  <c r="BP56" i="14" s="1"/>
  <c r="BQ56" i="14" s="1"/>
  <c r="BR56" i="14" s="1"/>
  <c r="AS11" i="14"/>
  <c r="AT11" i="14" s="1"/>
  <c r="AU11" i="14" s="1"/>
  <c r="AV11" i="14" s="1"/>
  <c r="AW11" i="14" s="1"/>
  <c r="AX11" i="14" s="1"/>
  <c r="AY11" i="14" s="1"/>
  <c r="AZ11" i="14" s="1"/>
  <c r="BA11" i="14" s="1"/>
  <c r="BP11" i="14" s="1"/>
  <c r="BQ11" i="14" s="1"/>
  <c r="BR11" i="14" s="1"/>
  <c r="AS8" i="14"/>
  <c r="AT8" i="14" s="1"/>
  <c r="AU8" i="14" s="1"/>
  <c r="AV8" i="14" s="1"/>
  <c r="AW8" i="14" s="1"/>
  <c r="AX8" i="14" s="1"/>
  <c r="AY8" i="14" s="1"/>
  <c r="AZ8" i="14" s="1"/>
  <c r="BA8" i="14" s="1"/>
  <c r="BP8" i="14" s="1"/>
  <c r="BQ8" i="14" s="1"/>
  <c r="BR8" i="14" s="1"/>
  <c r="AS46" i="14"/>
  <c r="AT46" i="14" s="1"/>
  <c r="AU46" i="14" s="1"/>
  <c r="AV46" i="14" s="1"/>
  <c r="AW46" i="14" s="1"/>
  <c r="AX46" i="14" s="1"/>
  <c r="AY46" i="14" s="1"/>
  <c r="AZ46" i="14" s="1"/>
  <c r="BA46" i="14" s="1"/>
  <c r="BP46" i="14" s="1"/>
  <c r="BQ46" i="14" s="1"/>
  <c r="BR46" i="14" s="1"/>
  <c r="AS61" i="14"/>
  <c r="AT61" i="14" s="1"/>
  <c r="AU61" i="14" s="1"/>
  <c r="AV61" i="14" s="1"/>
  <c r="AW61" i="14" s="1"/>
  <c r="AX61" i="14" s="1"/>
  <c r="AY61" i="14" s="1"/>
  <c r="AZ61" i="14" s="1"/>
  <c r="BA61" i="14" s="1"/>
  <c r="BP61" i="14" s="1"/>
  <c r="BQ61" i="14" s="1"/>
  <c r="BR61" i="14" s="1"/>
  <c r="AS63" i="14"/>
  <c r="AT63" i="14" s="1"/>
  <c r="AU63" i="14" s="1"/>
  <c r="AV63" i="14" s="1"/>
  <c r="AW63" i="14" s="1"/>
  <c r="AX63" i="14" s="1"/>
  <c r="AY63" i="14" s="1"/>
  <c r="AZ63" i="14" s="1"/>
  <c r="BA63" i="14" s="1"/>
  <c r="BP63" i="14" s="1"/>
  <c r="BQ63" i="14" s="1"/>
  <c r="BR63" i="14" s="1"/>
  <c r="AS65" i="14"/>
  <c r="AT65" i="14" s="1"/>
  <c r="AU65" i="14" s="1"/>
  <c r="AV65" i="14" s="1"/>
  <c r="AW65" i="14" s="1"/>
  <c r="AX65" i="14" s="1"/>
  <c r="AY65" i="14" s="1"/>
  <c r="AZ65" i="14" s="1"/>
  <c r="BA65" i="14" s="1"/>
  <c r="BP65" i="14" s="1"/>
  <c r="BQ65" i="14" s="1"/>
  <c r="BR65" i="14" s="1"/>
  <c r="AS67" i="14"/>
  <c r="AT67" i="14" s="1"/>
  <c r="AU67" i="14" s="1"/>
  <c r="AV67" i="14" s="1"/>
  <c r="AW67" i="14" s="1"/>
  <c r="AX67" i="14" s="1"/>
  <c r="AY67" i="14" s="1"/>
  <c r="AZ67" i="14" s="1"/>
  <c r="BA67" i="14" s="1"/>
  <c r="BP67" i="14" s="1"/>
  <c r="BQ67" i="14" s="1"/>
  <c r="BR67" i="14" s="1"/>
  <c r="AS23" i="14"/>
  <c r="AT23" i="14" s="1"/>
  <c r="AU23" i="14" s="1"/>
  <c r="AV23" i="14" s="1"/>
  <c r="AW23" i="14" s="1"/>
  <c r="AX23" i="14" s="1"/>
  <c r="AY23" i="14" s="1"/>
  <c r="AZ23" i="14" s="1"/>
  <c r="BA23" i="14" s="1"/>
  <c r="BP23" i="14" s="1"/>
  <c r="BQ23" i="14" s="1"/>
  <c r="BR23" i="14" s="1"/>
  <c r="AS59" i="14"/>
  <c r="AT59" i="14" s="1"/>
  <c r="AU59" i="14" s="1"/>
  <c r="AV59" i="14" s="1"/>
  <c r="AW59" i="14" s="1"/>
  <c r="AX59" i="14" s="1"/>
  <c r="AY59" i="14" s="1"/>
  <c r="AZ59" i="14" s="1"/>
  <c r="BA59" i="14" s="1"/>
  <c r="BP59" i="14" s="1"/>
  <c r="BQ59" i="14" s="1"/>
  <c r="BR59" i="14" s="1"/>
  <c r="AS27" i="14"/>
  <c r="AT27" i="14" s="1"/>
  <c r="AU27" i="14" s="1"/>
  <c r="AV27" i="14" s="1"/>
  <c r="AW27" i="14" s="1"/>
  <c r="AX27" i="14" s="1"/>
  <c r="AY27" i="14" s="1"/>
  <c r="AZ27" i="14" s="1"/>
  <c r="BA27" i="14" s="1"/>
  <c r="BP27" i="14" s="1"/>
  <c r="BQ27" i="14" s="1"/>
  <c r="BR27" i="14" s="1"/>
  <c r="AS58" i="14"/>
  <c r="AT58" i="14" s="1"/>
  <c r="AU58" i="14" s="1"/>
  <c r="AV58" i="14" s="1"/>
  <c r="AW58" i="14" s="1"/>
  <c r="AX58" i="14" s="1"/>
  <c r="AY58" i="14" s="1"/>
  <c r="AZ58" i="14" s="1"/>
  <c r="BA58" i="14" s="1"/>
  <c r="BP58" i="14" s="1"/>
  <c r="BQ58" i="14" s="1"/>
  <c r="BR58" i="14" s="1"/>
  <c r="AS35" i="14"/>
  <c r="AT35" i="14" s="1"/>
  <c r="AU35" i="14" s="1"/>
  <c r="AV35" i="14" s="1"/>
  <c r="AW35" i="14" s="1"/>
  <c r="AX35" i="14" s="1"/>
  <c r="AY35" i="14" s="1"/>
  <c r="AZ35" i="14" s="1"/>
  <c r="BA35" i="14" s="1"/>
  <c r="BP35" i="14" s="1"/>
  <c r="BQ35" i="14" s="1"/>
  <c r="BR35" i="14" s="1"/>
  <c r="AS9" i="14"/>
  <c r="AT9" i="14" s="1"/>
  <c r="AU9" i="14" s="1"/>
  <c r="AV9" i="14" s="1"/>
  <c r="AW9" i="14" s="1"/>
  <c r="AX9" i="14" s="1"/>
  <c r="AY9" i="14" s="1"/>
  <c r="AZ9" i="14" s="1"/>
  <c r="BA9" i="14" s="1"/>
  <c r="BP9" i="14" s="1"/>
  <c r="BQ9" i="14" s="1"/>
  <c r="BR9" i="14" s="1"/>
  <c r="AS49" i="14"/>
  <c r="AT49" i="14" s="1"/>
  <c r="AU49" i="14" s="1"/>
  <c r="AV49" i="14" s="1"/>
  <c r="AW49" i="14" s="1"/>
  <c r="AX49" i="14" s="1"/>
  <c r="AY49" i="14" s="1"/>
  <c r="AZ49" i="14" s="1"/>
  <c r="BA49" i="14" s="1"/>
  <c r="BP49" i="14" s="1"/>
  <c r="BQ49" i="14" s="1"/>
  <c r="BR49" i="14" s="1"/>
  <c r="AS15" i="14"/>
  <c r="AT15" i="14"/>
  <c r="AU15" i="14" s="1"/>
  <c r="AV15" i="14" s="1"/>
  <c r="AW15" i="14" s="1"/>
  <c r="AX15" i="14" s="1"/>
  <c r="AY15" i="14" s="1"/>
  <c r="AZ15" i="14" s="1"/>
  <c r="BA15" i="14" s="1"/>
  <c r="BP15" i="14" s="1"/>
  <c r="BQ15" i="14" s="1"/>
  <c r="BR15" i="14" s="1"/>
  <c r="AS43" i="14"/>
  <c r="AT43" i="14" s="1"/>
  <c r="AU43" i="14" s="1"/>
  <c r="AV43" i="14" s="1"/>
  <c r="AW43" i="14" s="1"/>
  <c r="AX43" i="14" s="1"/>
  <c r="AY43" i="14" s="1"/>
  <c r="AZ43" i="14" s="1"/>
  <c r="BA43" i="14" s="1"/>
  <c r="BP43" i="14" s="1"/>
  <c r="BQ43" i="14" s="1"/>
  <c r="BR43" i="14" s="1"/>
  <c r="BN99" i="14"/>
  <c r="BK99" i="14"/>
  <c r="BH99" i="14"/>
  <c r="BE99" i="14"/>
  <c r="BC99" i="14"/>
  <c r="AJ99" i="14"/>
  <c r="AK99" i="14" s="1"/>
  <c r="AM99" i="14" s="1"/>
  <c r="AO99" i="14" s="1"/>
  <c r="Z99" i="14"/>
  <c r="AF99" i="14" s="1"/>
  <c r="L99" i="14"/>
  <c r="H99" i="14"/>
  <c r="AA99" i="14" s="1"/>
  <c r="AG99" i="14" s="1"/>
  <c r="D99" i="14"/>
  <c r="C99" i="14"/>
  <c r="F99" i="14" s="1"/>
  <c r="BN98" i="14"/>
  <c r="BK98" i="14"/>
  <c r="BH98" i="14"/>
  <c r="BE98" i="14"/>
  <c r="BC98" i="14"/>
  <c r="AJ98" i="14"/>
  <c r="AK98" i="14" s="1"/>
  <c r="AM98" i="14" s="1"/>
  <c r="AO98" i="14" s="1"/>
  <c r="Z98" i="14"/>
  <c r="AF98" i="14" s="1"/>
  <c r="L98" i="14"/>
  <c r="H98" i="14"/>
  <c r="V98" i="14" s="1"/>
  <c r="D98" i="14"/>
  <c r="C98" i="14"/>
  <c r="F98" i="14" s="1"/>
  <c r="BN97" i="14"/>
  <c r="BK97" i="14"/>
  <c r="BH97" i="14"/>
  <c r="BE97" i="14"/>
  <c r="BC97" i="14"/>
  <c r="AJ97" i="14"/>
  <c r="AK97" i="14" s="1"/>
  <c r="AM97" i="14" s="1"/>
  <c r="AO97" i="14" s="1"/>
  <c r="Z97" i="14"/>
  <c r="AF97" i="14" s="1"/>
  <c r="L97" i="14"/>
  <c r="H97" i="14"/>
  <c r="X97" i="14" s="1"/>
  <c r="AC97" i="14" s="1"/>
  <c r="D97" i="14"/>
  <c r="C97" i="14"/>
  <c r="F97" i="14" s="1"/>
  <c r="BN96" i="14"/>
  <c r="BK96" i="14"/>
  <c r="BH96" i="14"/>
  <c r="BE96" i="14"/>
  <c r="BC96" i="14"/>
  <c r="AJ96" i="14"/>
  <c r="AK96" i="14" s="1"/>
  <c r="AM96" i="14" s="1"/>
  <c r="AO96" i="14" s="1"/>
  <c r="Z96" i="14"/>
  <c r="AF96" i="14" s="1"/>
  <c r="L96" i="14"/>
  <c r="H96" i="14"/>
  <c r="X96" i="14" s="1"/>
  <c r="AC96" i="14" s="1"/>
  <c r="D96" i="14"/>
  <c r="C96" i="14"/>
  <c r="F96" i="14" s="1"/>
  <c r="BN95" i="14"/>
  <c r="BK95" i="14"/>
  <c r="BH95" i="14"/>
  <c r="BE95" i="14"/>
  <c r="BC95" i="14"/>
  <c r="AJ95" i="14"/>
  <c r="AK95" i="14" s="1"/>
  <c r="AM95" i="14" s="1"/>
  <c r="AO95" i="14" s="1"/>
  <c r="Z95" i="14"/>
  <c r="AF95" i="14" s="1"/>
  <c r="L95" i="14"/>
  <c r="H95" i="14"/>
  <c r="D95" i="14"/>
  <c r="C95" i="14"/>
  <c r="F95" i="14" s="1"/>
  <c r="BN94" i="14"/>
  <c r="BK94" i="14"/>
  <c r="BH94" i="14"/>
  <c r="BE94" i="14"/>
  <c r="BC94" i="14"/>
  <c r="AJ94" i="14"/>
  <c r="AK94" i="14" s="1"/>
  <c r="AM94" i="14" s="1"/>
  <c r="AO94" i="14" s="1"/>
  <c r="Z94" i="14"/>
  <c r="AF94" i="14" s="1"/>
  <c r="L94" i="14"/>
  <c r="H94" i="14"/>
  <c r="W94" i="14" s="1"/>
  <c r="AI94" i="14" s="1"/>
  <c r="D94" i="14"/>
  <c r="C94" i="14"/>
  <c r="F94" i="14" s="1"/>
  <c r="BN93" i="14"/>
  <c r="BK93" i="14"/>
  <c r="BH93" i="14"/>
  <c r="BE93" i="14"/>
  <c r="BC93" i="14"/>
  <c r="AJ93" i="14"/>
  <c r="AK93" i="14" s="1"/>
  <c r="AM93" i="14" s="1"/>
  <c r="AO93" i="14" s="1"/>
  <c r="Z93" i="14"/>
  <c r="AF93" i="14" s="1"/>
  <c r="L93" i="14"/>
  <c r="H93" i="14"/>
  <c r="X93" i="14" s="1"/>
  <c r="AC93" i="14" s="1"/>
  <c r="D93" i="14"/>
  <c r="C93" i="14"/>
  <c r="F93" i="14" s="1"/>
  <c r="BN92" i="14"/>
  <c r="BK92" i="14"/>
  <c r="BH92" i="14"/>
  <c r="BE92" i="14"/>
  <c r="BC92" i="14"/>
  <c r="AJ92" i="14"/>
  <c r="AK92" i="14" s="1"/>
  <c r="AM92" i="14" s="1"/>
  <c r="AO92" i="14" s="1"/>
  <c r="Z92" i="14"/>
  <c r="AF92" i="14" s="1"/>
  <c r="L92" i="14"/>
  <c r="H92" i="14"/>
  <c r="V92" i="14" s="1"/>
  <c r="D92" i="14"/>
  <c r="C92" i="14"/>
  <c r="F92" i="14" s="1"/>
  <c r="BN91" i="14"/>
  <c r="BK91" i="14"/>
  <c r="BH91" i="14"/>
  <c r="BE91" i="14"/>
  <c r="BC91" i="14"/>
  <c r="AJ91" i="14"/>
  <c r="AK91" i="14" s="1"/>
  <c r="AM91" i="14" s="1"/>
  <c r="AO91" i="14" s="1"/>
  <c r="Z91" i="14"/>
  <c r="AF91" i="14" s="1"/>
  <c r="L91" i="14"/>
  <c r="H91" i="14"/>
  <c r="AA91" i="14" s="1"/>
  <c r="AG91" i="14" s="1"/>
  <c r="D91" i="14"/>
  <c r="C91" i="14"/>
  <c r="F91" i="14" s="1"/>
  <c r="BN90" i="14"/>
  <c r="BK90" i="14"/>
  <c r="BH90" i="14"/>
  <c r="BE90" i="14"/>
  <c r="BC90" i="14"/>
  <c r="AJ90" i="14"/>
  <c r="AK90" i="14" s="1"/>
  <c r="AM90" i="14" s="1"/>
  <c r="AO90" i="14" s="1"/>
  <c r="Z90" i="14"/>
  <c r="AF90" i="14" s="1"/>
  <c r="L90" i="14"/>
  <c r="H90" i="14"/>
  <c r="S90" i="14" s="1"/>
  <c r="D90" i="14"/>
  <c r="C90" i="14"/>
  <c r="F90" i="14" s="1"/>
  <c r="BN89" i="14"/>
  <c r="BK89" i="14"/>
  <c r="BH89" i="14"/>
  <c r="BE89" i="14"/>
  <c r="BC89" i="14"/>
  <c r="AJ89" i="14"/>
  <c r="AK89" i="14" s="1"/>
  <c r="AM89" i="14" s="1"/>
  <c r="AO89" i="14" s="1"/>
  <c r="Z89" i="14"/>
  <c r="AF89" i="14" s="1"/>
  <c r="L89" i="14"/>
  <c r="H89" i="14"/>
  <c r="Y89" i="14" s="1"/>
  <c r="AE89" i="14" s="1"/>
  <c r="D89" i="14"/>
  <c r="C89" i="14"/>
  <c r="F89" i="14" s="1"/>
  <c r="BN88" i="14"/>
  <c r="BK88" i="14"/>
  <c r="BH88" i="14"/>
  <c r="BE88" i="14"/>
  <c r="BC88" i="14"/>
  <c r="AJ88" i="14"/>
  <c r="AK88" i="14" s="1"/>
  <c r="AM88" i="14" s="1"/>
  <c r="AO88" i="14" s="1"/>
  <c r="Z88" i="14"/>
  <c r="AF88" i="14" s="1"/>
  <c r="L88" i="14"/>
  <c r="H88" i="14"/>
  <c r="D88" i="14"/>
  <c r="C88" i="14"/>
  <c r="F88" i="14" s="1"/>
  <c r="U90" i="14" l="1"/>
  <c r="AD90" i="14" s="1"/>
  <c r="I91" i="14"/>
  <c r="K91" i="14" s="1"/>
  <c r="M91" i="14" s="1"/>
  <c r="T91" i="14"/>
  <c r="AB91" i="14" s="1"/>
  <c r="V91" i="14"/>
  <c r="AH91" i="14" s="1"/>
  <c r="BF95" i="14"/>
  <c r="BI95" i="14" s="1"/>
  <c r="BL95" i="14" s="1"/>
  <c r="BO95" i="14" s="1"/>
  <c r="BF90" i="14"/>
  <c r="BI90" i="14" s="1"/>
  <c r="BL90" i="14" s="1"/>
  <c r="BO90" i="14" s="1"/>
  <c r="T96" i="14"/>
  <c r="AB96" i="14" s="1"/>
  <c r="BF92" i="14"/>
  <c r="BI92" i="14" s="1"/>
  <c r="BL92" i="14" s="1"/>
  <c r="BO92" i="14" s="1"/>
  <c r="BF91" i="14"/>
  <c r="BI91" i="14" s="1"/>
  <c r="BL91" i="14" s="1"/>
  <c r="BO91" i="14" s="1"/>
  <c r="X92" i="14"/>
  <c r="AC92" i="14" s="1"/>
  <c r="BF93" i="14"/>
  <c r="BI93" i="14" s="1"/>
  <c r="BL93" i="14" s="1"/>
  <c r="BO93" i="14" s="1"/>
  <c r="U89" i="14"/>
  <c r="AD89" i="14" s="1"/>
  <c r="S96" i="14"/>
  <c r="W98" i="14"/>
  <c r="AI98" i="14" s="1"/>
  <c r="BF94" i="14"/>
  <c r="BI94" i="14" s="1"/>
  <c r="BL94" i="14" s="1"/>
  <c r="BO94" i="14" s="1"/>
  <c r="BF88" i="14"/>
  <c r="BI88" i="14" s="1"/>
  <c r="BL88" i="14" s="1"/>
  <c r="BO88" i="14" s="1"/>
  <c r="BF96" i="14"/>
  <c r="BI96" i="14" s="1"/>
  <c r="BL96" i="14" s="1"/>
  <c r="BO96" i="14" s="1"/>
  <c r="BF97" i="14"/>
  <c r="BI97" i="14" s="1"/>
  <c r="BL97" i="14" s="1"/>
  <c r="BO97" i="14" s="1"/>
  <c r="BF98" i="14"/>
  <c r="BI98" i="14" s="1"/>
  <c r="BL98" i="14" s="1"/>
  <c r="BO98" i="14" s="1"/>
  <c r="T93" i="14"/>
  <c r="AB93" i="14" s="1"/>
  <c r="T97" i="14"/>
  <c r="Y90" i="14"/>
  <c r="AE90" i="14" s="1"/>
  <c r="I93" i="14"/>
  <c r="K93" i="14" s="1"/>
  <c r="M93" i="14" s="1"/>
  <c r="W93" i="14"/>
  <c r="AI93" i="14" s="1"/>
  <c r="I97" i="14"/>
  <c r="K97" i="14" s="1"/>
  <c r="M97" i="14" s="1"/>
  <c r="W97" i="14"/>
  <c r="AI97" i="14" s="1"/>
  <c r="BF89" i="14"/>
  <c r="BI89" i="14" s="1"/>
  <c r="BL89" i="14" s="1"/>
  <c r="BO89" i="14" s="1"/>
  <c r="S93" i="14"/>
  <c r="S97" i="14"/>
  <c r="BF99" i="14"/>
  <c r="BI99" i="14" s="1"/>
  <c r="BL99" i="14" s="1"/>
  <c r="BO99" i="14" s="1"/>
  <c r="AH92" i="14"/>
  <c r="AH98" i="14"/>
  <c r="X88" i="14"/>
  <c r="AC88" i="14" s="1"/>
  <c r="T88" i="14"/>
  <c r="I88" i="14"/>
  <c r="K88" i="14" s="1"/>
  <c r="M88" i="14" s="1"/>
  <c r="AA88" i="14"/>
  <c r="AG88" i="14" s="1"/>
  <c r="Y95" i="14"/>
  <c r="AE95" i="14" s="1"/>
  <c r="U95" i="14"/>
  <c r="X95" i="14"/>
  <c r="AC95" i="14" s="1"/>
  <c r="S95" i="14"/>
  <c r="W95" i="14"/>
  <c r="AI95" i="14" s="1"/>
  <c r="I95" i="14"/>
  <c r="K95" i="14" s="1"/>
  <c r="M95" i="14" s="1"/>
  <c r="T95" i="14"/>
  <c r="W88" i="14"/>
  <c r="AI88" i="14" s="1"/>
  <c r="AA89" i="14"/>
  <c r="AG89" i="14" s="1"/>
  <c r="AA94" i="14"/>
  <c r="AG94" i="14" s="1"/>
  <c r="V95" i="14"/>
  <c r="Y99" i="14"/>
  <c r="AE99" i="14" s="1"/>
  <c r="U99" i="14"/>
  <c r="X99" i="14"/>
  <c r="AC99" i="14" s="1"/>
  <c r="S99" i="14"/>
  <c r="W99" i="14"/>
  <c r="AI99" i="14" s="1"/>
  <c r="I99" i="14"/>
  <c r="K99" i="14" s="1"/>
  <c r="M99" i="14" s="1"/>
  <c r="T99" i="14"/>
  <c r="S88" i="14"/>
  <c r="Y88" i="14"/>
  <c r="AE88" i="14" s="1"/>
  <c r="W89" i="14"/>
  <c r="AI89" i="14" s="1"/>
  <c r="X90" i="14"/>
  <c r="AC90" i="14" s="1"/>
  <c r="T90" i="14"/>
  <c r="I90" i="14"/>
  <c r="K90" i="14" s="1"/>
  <c r="M90" i="14" s="1"/>
  <c r="V90" i="14"/>
  <c r="AA90" i="14"/>
  <c r="AG90" i="14" s="1"/>
  <c r="T92" i="14"/>
  <c r="AA92" i="14"/>
  <c r="AG92" i="14" s="1"/>
  <c r="V94" i="14"/>
  <c r="U88" i="14"/>
  <c r="S89" i="14"/>
  <c r="W90" i="14"/>
  <c r="AI90" i="14" s="1"/>
  <c r="Y91" i="14"/>
  <c r="AE91" i="14" s="1"/>
  <c r="U91" i="14"/>
  <c r="X91" i="14"/>
  <c r="AC91" i="14" s="1"/>
  <c r="S91" i="14"/>
  <c r="AQ91" i="14" s="1"/>
  <c r="W91" i="14"/>
  <c r="AI91" i="14" s="1"/>
  <c r="AA95" i="14"/>
  <c r="AG95" i="14" s="1"/>
  <c r="I98" i="14"/>
  <c r="K98" i="14" s="1"/>
  <c r="M98" i="14" s="1"/>
  <c r="V88" i="14"/>
  <c r="X89" i="14"/>
  <c r="AC89" i="14" s="1"/>
  <c r="T89" i="14"/>
  <c r="I89" i="14"/>
  <c r="K89" i="14" s="1"/>
  <c r="M89" i="14" s="1"/>
  <c r="V89" i="14"/>
  <c r="Y92" i="14"/>
  <c r="AE92" i="14" s="1"/>
  <c r="U92" i="14"/>
  <c r="W92" i="14"/>
  <c r="AI92" i="14" s="1"/>
  <c r="I92" i="14"/>
  <c r="K92" i="14" s="1"/>
  <c r="M92" i="14" s="1"/>
  <c r="S92" i="14"/>
  <c r="Y94" i="14"/>
  <c r="AE94" i="14" s="1"/>
  <c r="U94" i="14"/>
  <c r="T94" i="14"/>
  <c r="S94" i="14"/>
  <c r="X94" i="14"/>
  <c r="AC94" i="14" s="1"/>
  <c r="I94" i="14"/>
  <c r="K94" i="14" s="1"/>
  <c r="M94" i="14" s="1"/>
  <c r="Y98" i="14"/>
  <c r="AE98" i="14" s="1"/>
  <c r="U98" i="14"/>
  <c r="T98" i="14"/>
  <c r="X98" i="14"/>
  <c r="AC98" i="14" s="1"/>
  <c r="S98" i="14"/>
  <c r="AA98" i="14"/>
  <c r="AG98" i="14" s="1"/>
  <c r="V99" i="14"/>
  <c r="Y96" i="14"/>
  <c r="AE96" i="14" s="1"/>
  <c r="U96" i="14"/>
  <c r="V96" i="14"/>
  <c r="AA96" i="14"/>
  <c r="AG96" i="14" s="1"/>
  <c r="Y93" i="14"/>
  <c r="AE93" i="14" s="1"/>
  <c r="U93" i="14"/>
  <c r="V93" i="14"/>
  <c r="AA93" i="14"/>
  <c r="AG93" i="14" s="1"/>
  <c r="I96" i="14"/>
  <c r="K96" i="14" s="1"/>
  <c r="M96" i="14" s="1"/>
  <c r="W96" i="14"/>
  <c r="AI96" i="14" s="1"/>
  <c r="Y97" i="14"/>
  <c r="AE97" i="14" s="1"/>
  <c r="U97" i="14"/>
  <c r="V97" i="14"/>
  <c r="AA97" i="14"/>
  <c r="AG97" i="14" s="1"/>
  <c r="C5" i="14"/>
  <c r="F5" i="14" s="1"/>
  <c r="D5" i="14"/>
  <c r="H5" i="14"/>
  <c r="L5" i="14"/>
  <c r="Z5" i="14"/>
  <c r="AF5" i="14" s="1"/>
  <c r="BC5" i="14"/>
  <c r="BE5" i="14"/>
  <c r="BH5" i="14"/>
  <c r="BK5" i="14"/>
  <c r="BN5" i="14"/>
  <c r="O90" i="14" l="1"/>
  <c r="Q90" i="14" s="1"/>
  <c r="R90" i="14" s="1"/>
  <c r="O94" i="14"/>
  <c r="Q94" i="14" s="1"/>
  <c r="R94" i="14" s="1"/>
  <c r="O89" i="14"/>
  <c r="Q89" i="14" s="1"/>
  <c r="R89" i="14" s="1"/>
  <c r="O98" i="14"/>
  <c r="Q98" i="14" s="1"/>
  <c r="R98" i="14" s="1"/>
  <c r="O88" i="14"/>
  <c r="Q88" i="14" s="1"/>
  <c r="R88" i="14" s="1"/>
  <c r="O93" i="14"/>
  <c r="Q93" i="14" s="1"/>
  <c r="R93" i="14" s="1"/>
  <c r="O96" i="14"/>
  <c r="Q96" i="14" s="1"/>
  <c r="R96" i="14" s="1"/>
  <c r="O95" i="14"/>
  <c r="Q95" i="14" s="1"/>
  <c r="R95" i="14" s="1"/>
  <c r="O91" i="14"/>
  <c r="Q91" i="14" s="1"/>
  <c r="R91" i="14" s="1"/>
  <c r="O92" i="14"/>
  <c r="Q92" i="14" s="1"/>
  <c r="R92" i="14" s="1"/>
  <c r="O99" i="14"/>
  <c r="Q99" i="14" s="1"/>
  <c r="R99" i="14" s="1"/>
  <c r="O97" i="14"/>
  <c r="Q97" i="14" s="1"/>
  <c r="R97" i="14" s="1"/>
  <c r="BF5" i="14"/>
  <c r="AQ96" i="14"/>
  <c r="AB97" i="14"/>
  <c r="AQ97" i="14"/>
  <c r="BI5" i="14"/>
  <c r="BL5" i="14" s="1"/>
  <c r="BO5" i="14" s="1"/>
  <c r="AQ93" i="14"/>
  <c r="AP93" i="14"/>
  <c r="AH93" i="14"/>
  <c r="AD91" i="14"/>
  <c r="AH94" i="14"/>
  <c r="AD93" i="14"/>
  <c r="AH96" i="14"/>
  <c r="AP96" i="14"/>
  <c r="AQ98" i="14"/>
  <c r="AP98" i="14"/>
  <c r="AB98" i="14"/>
  <c r="AQ94" i="14"/>
  <c r="AP94" i="14"/>
  <c r="AB94" i="14"/>
  <c r="AH88" i="14"/>
  <c r="AP88" i="14"/>
  <c r="AB88" i="14"/>
  <c r="AQ88" i="14"/>
  <c r="AH89" i="14"/>
  <c r="AQ92" i="14"/>
  <c r="AB92" i="14"/>
  <c r="AP92" i="14"/>
  <c r="AH90" i="14"/>
  <c r="AQ99" i="14"/>
  <c r="AP99" i="14"/>
  <c r="AB99" i="14"/>
  <c r="AQ95" i="14"/>
  <c r="AP95" i="14"/>
  <c r="AB95" i="14"/>
  <c r="AD92" i="14"/>
  <c r="AD99" i="14"/>
  <c r="AD95" i="14"/>
  <c r="AP97" i="14"/>
  <c r="AH97" i="14"/>
  <c r="AH99" i="14"/>
  <c r="AP89" i="14"/>
  <c r="AB89" i="14"/>
  <c r="AQ89" i="14"/>
  <c r="AQ90" i="14"/>
  <c r="AB90" i="14"/>
  <c r="AP90" i="14"/>
  <c r="AD97" i="14"/>
  <c r="AD96" i="14"/>
  <c r="AD98" i="14"/>
  <c r="AD94" i="14"/>
  <c r="AD88" i="14"/>
  <c r="AH95" i="14"/>
  <c r="AP91" i="14"/>
  <c r="I5" i="14"/>
  <c r="K5" i="14" s="1"/>
  <c r="M5" i="14" s="1"/>
  <c r="T5" i="14"/>
  <c r="X5" i="14"/>
  <c r="AC5" i="14" s="1"/>
  <c r="W5" i="14"/>
  <c r="AI5" i="14" s="1"/>
  <c r="U5" i="14"/>
  <c r="AA5" i="14"/>
  <c r="AG5" i="14" s="1"/>
  <c r="V5" i="14"/>
  <c r="Y5" i="14"/>
  <c r="AE5" i="14" s="1"/>
  <c r="S5" i="14"/>
  <c r="C4" i="14"/>
  <c r="F4" i="14" s="1"/>
  <c r="D4" i="14"/>
  <c r="H4" i="14"/>
  <c r="S4" i="14" s="1"/>
  <c r="Z4" i="14"/>
  <c r="AF4" i="14" s="1"/>
  <c r="AJ4" i="14"/>
  <c r="AK4" i="14" s="1"/>
  <c r="AM4" i="14" s="1"/>
  <c r="AO4" i="14" s="1"/>
  <c r="BC4" i="14"/>
  <c r="BE4" i="14"/>
  <c r="BH4" i="14"/>
  <c r="BK4" i="14"/>
  <c r="BN4" i="14"/>
  <c r="AR92" i="14" l="1"/>
  <c r="AR98" i="14"/>
  <c r="AR93" i="14"/>
  <c r="AR90" i="14"/>
  <c r="AS90" i="14" s="1"/>
  <c r="AT90" i="14" s="1"/>
  <c r="AU90" i="14" s="1"/>
  <c r="AV90" i="14" s="1"/>
  <c r="AW90" i="14" s="1"/>
  <c r="AX90" i="14" s="1"/>
  <c r="AY90" i="14" s="1"/>
  <c r="AZ90" i="14" s="1"/>
  <c r="BA90" i="14" s="1"/>
  <c r="BP90" i="14" s="1"/>
  <c r="BQ90" i="14" s="1"/>
  <c r="BR90" i="14" s="1"/>
  <c r="AR94" i="14"/>
  <c r="AR97" i="14"/>
  <c r="AR99" i="14"/>
  <c r="AS99" i="14" s="1"/>
  <c r="AT99" i="14" s="1"/>
  <c r="AU99" i="14" s="1"/>
  <c r="AV99" i="14" s="1"/>
  <c r="AW99" i="14" s="1"/>
  <c r="AX99" i="14" s="1"/>
  <c r="AY99" i="14" s="1"/>
  <c r="AZ99" i="14" s="1"/>
  <c r="BA99" i="14" s="1"/>
  <c r="BP99" i="14" s="1"/>
  <c r="BQ99" i="14" s="1"/>
  <c r="BR99" i="14" s="1"/>
  <c r="AR91" i="14"/>
  <c r="AS91" i="14" s="1"/>
  <c r="AT91" i="14" s="1"/>
  <c r="AU91" i="14" s="1"/>
  <c r="AV91" i="14" s="1"/>
  <c r="AW91" i="14" s="1"/>
  <c r="AX91" i="14" s="1"/>
  <c r="AY91" i="14" s="1"/>
  <c r="AZ91" i="14" s="1"/>
  <c r="BA91" i="14" s="1"/>
  <c r="BP91" i="14" s="1"/>
  <c r="BQ91" i="14" s="1"/>
  <c r="BR91" i="14" s="1"/>
  <c r="AR89" i="14"/>
  <c r="AR95" i="14"/>
  <c r="AR88" i="14"/>
  <c r="AS88" i="14" s="1"/>
  <c r="AT88" i="14" s="1"/>
  <c r="AU88" i="14" s="1"/>
  <c r="AV88" i="14" s="1"/>
  <c r="AW88" i="14" s="1"/>
  <c r="AX88" i="14" s="1"/>
  <c r="AY88" i="14" s="1"/>
  <c r="AZ88" i="14" s="1"/>
  <c r="BA88" i="14" s="1"/>
  <c r="BP88" i="14" s="1"/>
  <c r="BQ88" i="14" s="1"/>
  <c r="BR88" i="14" s="1"/>
  <c r="AR96" i="14"/>
  <c r="AS96" i="14" s="1"/>
  <c r="AT96" i="14" s="1"/>
  <c r="AU96" i="14" s="1"/>
  <c r="AV96" i="14" s="1"/>
  <c r="AW96" i="14" s="1"/>
  <c r="AX96" i="14" s="1"/>
  <c r="AY96" i="14" s="1"/>
  <c r="AZ96" i="14" s="1"/>
  <c r="BA96" i="14" s="1"/>
  <c r="BP96" i="14" s="1"/>
  <c r="BQ96" i="14" s="1"/>
  <c r="BR96" i="14" s="1"/>
  <c r="O5" i="14"/>
  <c r="Q5" i="14" s="1"/>
  <c r="R5" i="14" s="1"/>
  <c r="AS97" i="14"/>
  <c r="AT97" i="14" s="1"/>
  <c r="AU97" i="14" s="1"/>
  <c r="AV97" i="14" s="1"/>
  <c r="AW97" i="14" s="1"/>
  <c r="AX97" i="14" s="1"/>
  <c r="AY97" i="14" s="1"/>
  <c r="AZ97" i="14" s="1"/>
  <c r="BA97" i="14" s="1"/>
  <c r="BP97" i="14" s="1"/>
  <c r="BQ97" i="14" s="1"/>
  <c r="BR97" i="14" s="1"/>
  <c r="AS93" i="14"/>
  <c r="AT93" i="14" s="1"/>
  <c r="AU93" i="14" s="1"/>
  <c r="AV93" i="14" s="1"/>
  <c r="AW93" i="14" s="1"/>
  <c r="AX93" i="14" s="1"/>
  <c r="AY93" i="14" s="1"/>
  <c r="AZ93" i="14" s="1"/>
  <c r="BA93" i="14" s="1"/>
  <c r="BP93" i="14" s="1"/>
  <c r="BQ93" i="14" s="1"/>
  <c r="BR93" i="14" s="1"/>
  <c r="AS92" i="14"/>
  <c r="AT92" i="14" s="1"/>
  <c r="AU92" i="14" s="1"/>
  <c r="AV92" i="14" s="1"/>
  <c r="AW92" i="14" s="1"/>
  <c r="AX92" i="14" s="1"/>
  <c r="AY92" i="14" s="1"/>
  <c r="AZ92" i="14" s="1"/>
  <c r="BA92" i="14" s="1"/>
  <c r="BP92" i="14" s="1"/>
  <c r="BQ92" i="14" s="1"/>
  <c r="BR92" i="14" s="1"/>
  <c r="AS89" i="14"/>
  <c r="AT89" i="14" s="1"/>
  <c r="AU89" i="14" s="1"/>
  <c r="AV89" i="14" s="1"/>
  <c r="AW89" i="14" s="1"/>
  <c r="AX89" i="14" s="1"/>
  <c r="AY89" i="14" s="1"/>
  <c r="AZ89" i="14" s="1"/>
  <c r="BA89" i="14" s="1"/>
  <c r="BP89" i="14" s="1"/>
  <c r="BQ89" i="14" s="1"/>
  <c r="BR89" i="14" s="1"/>
  <c r="AS94" i="14"/>
  <c r="AT94" i="14" s="1"/>
  <c r="AU94" i="14" s="1"/>
  <c r="AV94" i="14" s="1"/>
  <c r="AW94" i="14" s="1"/>
  <c r="AX94" i="14" s="1"/>
  <c r="AY94" i="14" s="1"/>
  <c r="AZ94" i="14" s="1"/>
  <c r="BA94" i="14" s="1"/>
  <c r="BP94" i="14" s="1"/>
  <c r="BQ94" i="14" s="1"/>
  <c r="BR94" i="14" s="1"/>
  <c r="AS95" i="14"/>
  <c r="AT95" i="14" s="1"/>
  <c r="AU95" i="14" s="1"/>
  <c r="AV95" i="14" s="1"/>
  <c r="AW95" i="14" s="1"/>
  <c r="AX95" i="14" s="1"/>
  <c r="AY95" i="14" s="1"/>
  <c r="AZ95" i="14" s="1"/>
  <c r="BA95" i="14" s="1"/>
  <c r="BP95" i="14" s="1"/>
  <c r="BQ95" i="14" s="1"/>
  <c r="BR95" i="14" s="1"/>
  <c r="AS98" i="14"/>
  <c r="AT98" i="14" s="1"/>
  <c r="AU98" i="14" s="1"/>
  <c r="AV98" i="14" s="1"/>
  <c r="AW98" i="14" s="1"/>
  <c r="AX98" i="14" s="1"/>
  <c r="AY98" i="14" s="1"/>
  <c r="AZ98" i="14" s="1"/>
  <c r="BA98" i="14" s="1"/>
  <c r="BP98" i="14" s="1"/>
  <c r="BQ98" i="14" s="1"/>
  <c r="BR98" i="14" s="1"/>
  <c r="T4" i="14"/>
  <c r="AB4" i="14" s="1"/>
  <c r="AD5" i="14"/>
  <c r="AH5" i="14"/>
  <c r="AB5" i="14"/>
  <c r="AP5" i="14"/>
  <c r="AQ5" i="14"/>
  <c r="X4" i="14"/>
  <c r="AC4" i="14" s="1"/>
  <c r="Y4" i="14"/>
  <c r="AE4" i="14" s="1"/>
  <c r="V4" i="14"/>
  <c r="AH4" i="14" s="1"/>
  <c r="U4" i="14"/>
  <c r="AD4" i="14" s="1"/>
  <c r="I4" i="14"/>
  <c r="K4" i="14" s="1"/>
  <c r="M4" i="14" s="1"/>
  <c r="BF4" i="14"/>
  <c r="BI4" i="14" s="1"/>
  <c r="BL4" i="14" s="1"/>
  <c r="BO4" i="14" s="1"/>
  <c r="AA4" i="14"/>
  <c r="AG4" i="14" s="1"/>
  <c r="W4" i="14"/>
  <c r="AI4" i="14" s="1"/>
  <c r="O4" i="14" l="1"/>
  <c r="Q4" i="14" s="1"/>
  <c r="R4" i="14" s="1"/>
  <c r="AJ5" i="14"/>
  <c r="AK5" i="14" s="1"/>
  <c r="AM5" i="14" s="1"/>
  <c r="AO5" i="14" s="1"/>
  <c r="AR5" i="14"/>
  <c r="AS5" i="14" s="1"/>
  <c r="AT5" i="14" s="1"/>
  <c r="AU5" i="14" s="1"/>
  <c r="AV5" i="14" s="1"/>
  <c r="AW5" i="14" s="1"/>
  <c r="AX5" i="14" s="1"/>
  <c r="AY5" i="14" s="1"/>
  <c r="AZ5" i="14" s="1"/>
  <c r="AQ4" i="14"/>
  <c r="AP4" i="14"/>
  <c r="C86" i="14"/>
  <c r="F86" i="14" s="1"/>
  <c r="D86" i="14"/>
  <c r="H86" i="14"/>
  <c r="Z86" i="14"/>
  <c r="AF86" i="14" s="1"/>
  <c r="AJ86" i="14"/>
  <c r="AK86" i="14" s="1"/>
  <c r="AM86" i="14" s="1"/>
  <c r="AO86" i="14" s="1"/>
  <c r="BC86" i="14"/>
  <c r="BE86" i="14"/>
  <c r="BH86" i="14"/>
  <c r="BK86" i="14"/>
  <c r="BN86" i="14"/>
  <c r="AR4" i="14" l="1"/>
  <c r="AS4" i="14" s="1"/>
  <c r="AT4" i="14" s="1"/>
  <c r="AU4" i="14" s="1"/>
  <c r="AV4" i="14" s="1"/>
  <c r="AW4" i="14" s="1"/>
  <c r="AX4" i="14" s="1"/>
  <c r="AY4" i="14" s="1"/>
  <c r="AZ4" i="14" s="1"/>
  <c r="BA4" i="14" s="1"/>
  <c r="BP4" i="14" s="1"/>
  <c r="BQ4" i="14" s="1"/>
  <c r="BR4" i="14" s="1"/>
  <c r="BA5" i="14"/>
  <c r="BP5" i="14" s="1"/>
  <c r="BQ5" i="14" s="1"/>
  <c r="BR5" i="14" s="1"/>
  <c r="I86" i="14"/>
  <c r="K86" i="14" s="1"/>
  <c r="M86" i="14" s="1"/>
  <c r="X86" i="14"/>
  <c r="AC86" i="14" s="1"/>
  <c r="T86" i="14"/>
  <c r="AB86" i="14" s="1"/>
  <c r="BF86" i="14"/>
  <c r="BI86" i="14" s="1"/>
  <c r="BL86" i="14" s="1"/>
  <c r="BO86" i="14" s="1"/>
  <c r="AA86" i="14"/>
  <c r="AG86" i="14" s="1"/>
  <c r="W86" i="14"/>
  <c r="AI86" i="14" s="1"/>
  <c r="S86" i="14"/>
  <c r="V86" i="14"/>
  <c r="Y86" i="14"/>
  <c r="AE86" i="14" s="1"/>
  <c r="U86" i="14"/>
  <c r="L69" i="14"/>
  <c r="L70" i="14"/>
  <c r="L71" i="14"/>
  <c r="L72" i="14"/>
  <c r="L73" i="14"/>
  <c r="L74" i="14"/>
  <c r="L75" i="14"/>
  <c r="L76" i="14"/>
  <c r="L77" i="14"/>
  <c r="L78" i="14"/>
  <c r="L79" i="14"/>
  <c r="L80" i="14"/>
  <c r="L81" i="14"/>
  <c r="L82" i="14"/>
  <c r="L83" i="14"/>
  <c r="L84" i="14"/>
  <c r="L85" i="14"/>
  <c r="L87" i="14"/>
  <c r="O86" i="14" l="1"/>
  <c r="Q86" i="14" s="1"/>
  <c r="R86" i="14" s="1"/>
  <c r="AH86" i="14"/>
  <c r="AP86" i="14"/>
  <c r="AD86" i="14"/>
  <c r="AQ86" i="14"/>
  <c r="AR86" i="14" l="1"/>
  <c r="AS86" i="14"/>
  <c r="AT86" i="14" s="1"/>
  <c r="AU86" i="14" s="1"/>
  <c r="AV86" i="14" s="1"/>
  <c r="AW86" i="14" s="1"/>
  <c r="AX86" i="14" s="1"/>
  <c r="AY86" i="14" s="1"/>
  <c r="AZ86" i="14" s="1"/>
  <c r="BA86" i="14" s="1"/>
  <c r="BP86" i="14" s="1"/>
  <c r="BQ86" i="14" s="1"/>
  <c r="BR86" i="14" s="1"/>
  <c r="AJ69" i="14"/>
  <c r="AJ70" i="14"/>
  <c r="AJ71" i="14"/>
  <c r="AJ72" i="14"/>
  <c r="AJ73" i="14"/>
  <c r="AJ74" i="14"/>
  <c r="AJ75" i="14"/>
  <c r="AJ76" i="14"/>
  <c r="AJ77" i="14"/>
  <c r="AJ78" i="14"/>
  <c r="AJ79" i="14"/>
  <c r="AJ80" i="14"/>
  <c r="AJ81" i="14"/>
  <c r="AJ82" i="14"/>
  <c r="AJ83" i="14"/>
  <c r="AJ84" i="14"/>
  <c r="AJ85" i="14"/>
  <c r="AJ87" i="14"/>
  <c r="AK69" i="14" l="1"/>
  <c r="AK70" i="14"/>
  <c r="AK71" i="14"/>
  <c r="AK72" i="14"/>
  <c r="AK73" i="14"/>
  <c r="AK74" i="14"/>
  <c r="AK75" i="14"/>
  <c r="AK76" i="14"/>
  <c r="AK77" i="14"/>
  <c r="AK78" i="14"/>
  <c r="AK79" i="14"/>
  <c r="AK80" i="14"/>
  <c r="AK81" i="14"/>
  <c r="AK82" i="14"/>
  <c r="AK83" i="14"/>
  <c r="AK84" i="14"/>
  <c r="AK85" i="14"/>
  <c r="AK87" i="14"/>
  <c r="Z69" i="14" l="1"/>
  <c r="Z70" i="14"/>
  <c r="Z71" i="14"/>
  <c r="Z72" i="14"/>
  <c r="Z73" i="14"/>
  <c r="Z74" i="14"/>
  <c r="Z75" i="14"/>
  <c r="Z76" i="14"/>
  <c r="Z77" i="14"/>
  <c r="Z78" i="14"/>
  <c r="Z79" i="14"/>
  <c r="Z80" i="14"/>
  <c r="Z81" i="14"/>
  <c r="Z82" i="14"/>
  <c r="Z83" i="14"/>
  <c r="Z84" i="14"/>
  <c r="Z85" i="14"/>
  <c r="AF85" i="14" s="1"/>
  <c r="Z87" i="14"/>
  <c r="AF87" i="14" s="1"/>
  <c r="H69" i="14"/>
  <c r="H70" i="14"/>
  <c r="H71" i="14"/>
  <c r="H72" i="14"/>
  <c r="H73" i="14"/>
  <c r="H74" i="14"/>
  <c r="H75" i="14"/>
  <c r="H76" i="14"/>
  <c r="H77" i="14"/>
  <c r="H78" i="14"/>
  <c r="H79" i="14"/>
  <c r="H80" i="14"/>
  <c r="H81" i="14"/>
  <c r="H82" i="14"/>
  <c r="H83" i="14"/>
  <c r="H84" i="14"/>
  <c r="H85" i="14"/>
  <c r="H87" i="14"/>
  <c r="C85" i="14"/>
  <c r="F85" i="14" s="1"/>
  <c r="D85" i="14"/>
  <c r="AM85" i="14"/>
  <c r="AO85" i="14" s="1"/>
  <c r="BC85" i="14"/>
  <c r="BE85" i="14"/>
  <c r="BH85" i="14"/>
  <c r="BK85" i="14"/>
  <c r="BN85" i="14"/>
  <c r="C87" i="14"/>
  <c r="F87" i="14" s="1"/>
  <c r="D87" i="14"/>
  <c r="AM87" i="14"/>
  <c r="AO87" i="14" s="1"/>
  <c r="BC87" i="14"/>
  <c r="BE87" i="14"/>
  <c r="BH87" i="14"/>
  <c r="BK87" i="14"/>
  <c r="BN87" i="14"/>
  <c r="I85" i="14" l="1"/>
  <c r="I87" i="14"/>
  <c r="BF85" i="14"/>
  <c r="BI85" i="14" s="1"/>
  <c r="BL85" i="14" s="1"/>
  <c r="BO85" i="14" s="1"/>
  <c r="U82" i="14"/>
  <c r="Y82" i="14"/>
  <c r="V82" i="14"/>
  <c r="AH82" i="14" s="1"/>
  <c r="S82" i="14"/>
  <c r="W82" i="14"/>
  <c r="AA82" i="14"/>
  <c r="T82" i="14"/>
  <c r="X82" i="14"/>
  <c r="U70" i="14"/>
  <c r="Y70" i="14"/>
  <c r="T70" i="14"/>
  <c r="V70" i="14"/>
  <c r="AH70" i="14" s="1"/>
  <c r="AA70" i="14"/>
  <c r="W70" i="14"/>
  <c r="S70" i="14"/>
  <c r="X70" i="14"/>
  <c r="V81" i="14"/>
  <c r="AH81" i="14" s="1"/>
  <c r="S81" i="14"/>
  <c r="W81" i="14"/>
  <c r="AA81" i="14"/>
  <c r="T81" i="14"/>
  <c r="X81" i="14"/>
  <c r="U81" i="14"/>
  <c r="Y81" i="14"/>
  <c r="V69" i="14"/>
  <c r="AH69" i="14" s="1"/>
  <c r="T69" i="14"/>
  <c r="Y69" i="14"/>
  <c r="U69" i="14"/>
  <c r="W69" i="14"/>
  <c r="AA69" i="14"/>
  <c r="S69" i="14"/>
  <c r="X69" i="14"/>
  <c r="U87" i="14"/>
  <c r="AD87" i="14" s="1"/>
  <c r="Y87" i="14"/>
  <c r="AE87" i="14" s="1"/>
  <c r="V87" i="14"/>
  <c r="AH87" i="14" s="1"/>
  <c r="S87" i="14"/>
  <c r="W87" i="14"/>
  <c r="AI87" i="14" s="1"/>
  <c r="AA87" i="14"/>
  <c r="AG87" i="14" s="1"/>
  <c r="T87" i="14"/>
  <c r="X87" i="14"/>
  <c r="AC87" i="14" s="1"/>
  <c r="U74" i="14"/>
  <c r="T74" i="14"/>
  <c r="Y74" i="14"/>
  <c r="V74" i="14"/>
  <c r="AH74" i="14" s="1"/>
  <c r="W74" i="14"/>
  <c r="AA74" i="14"/>
  <c r="S74" i="14"/>
  <c r="X74" i="14"/>
  <c r="V77" i="14"/>
  <c r="AH77" i="14" s="1"/>
  <c r="S77" i="14"/>
  <c r="W77" i="14"/>
  <c r="AA77" i="14"/>
  <c r="T77" i="14"/>
  <c r="X77" i="14"/>
  <c r="U77" i="14"/>
  <c r="Y77" i="14"/>
  <c r="S84" i="14"/>
  <c r="W84" i="14"/>
  <c r="AA84" i="14"/>
  <c r="T84" i="14"/>
  <c r="X84" i="14"/>
  <c r="U84" i="14"/>
  <c r="Y84" i="14"/>
  <c r="V84" i="14"/>
  <c r="AH84" i="14" s="1"/>
  <c r="S80" i="14"/>
  <c r="W80" i="14"/>
  <c r="AA80" i="14"/>
  <c r="T80" i="14"/>
  <c r="X80" i="14"/>
  <c r="U80" i="14"/>
  <c r="Y80" i="14"/>
  <c r="V80" i="14"/>
  <c r="AH80" i="14" s="1"/>
  <c r="S76" i="14"/>
  <c r="W76" i="14"/>
  <c r="AA76" i="14"/>
  <c r="T76" i="14"/>
  <c r="X76" i="14"/>
  <c r="U76" i="14"/>
  <c r="Y76" i="14"/>
  <c r="V76" i="14"/>
  <c r="AH76" i="14" s="1"/>
  <c r="S72" i="14"/>
  <c r="W72" i="14"/>
  <c r="AA72" i="14"/>
  <c r="X72" i="14"/>
  <c r="T72" i="14"/>
  <c r="Y72" i="14"/>
  <c r="U72" i="14"/>
  <c r="V72" i="14"/>
  <c r="AH72" i="14" s="1"/>
  <c r="U78" i="14"/>
  <c r="Y78" i="14"/>
  <c r="V78" i="14"/>
  <c r="AH78" i="14" s="1"/>
  <c r="S78" i="14"/>
  <c r="W78" i="14"/>
  <c r="AA78" i="14"/>
  <c r="T78" i="14"/>
  <c r="X78" i="14"/>
  <c r="V85" i="14"/>
  <c r="AH85" i="14" s="1"/>
  <c r="S85" i="14"/>
  <c r="W85" i="14"/>
  <c r="AI85" i="14" s="1"/>
  <c r="AA85" i="14"/>
  <c r="AG85" i="14" s="1"/>
  <c r="T85" i="14"/>
  <c r="X85" i="14"/>
  <c r="AC85" i="14" s="1"/>
  <c r="U85" i="14"/>
  <c r="AD85" i="14" s="1"/>
  <c r="Y85" i="14"/>
  <c r="AE85" i="14" s="1"/>
  <c r="V73" i="14"/>
  <c r="AH73" i="14" s="1"/>
  <c r="T73" i="14"/>
  <c r="Y73" i="14"/>
  <c r="U73" i="14"/>
  <c r="W73" i="14"/>
  <c r="AA73" i="14"/>
  <c r="S73" i="14"/>
  <c r="X73" i="14"/>
  <c r="BF87" i="14"/>
  <c r="BI87" i="14" s="1"/>
  <c r="BL87" i="14" s="1"/>
  <c r="BO87" i="14" s="1"/>
  <c r="T83" i="14"/>
  <c r="X83" i="14"/>
  <c r="U83" i="14"/>
  <c r="Y83" i="14"/>
  <c r="V83" i="14"/>
  <c r="AH83" i="14" s="1"/>
  <c r="S83" i="14"/>
  <c r="W83" i="14"/>
  <c r="AA83" i="14"/>
  <c r="T79" i="14"/>
  <c r="X79" i="14"/>
  <c r="U79" i="14"/>
  <c r="Y79" i="14"/>
  <c r="V79" i="14"/>
  <c r="AH79" i="14" s="1"/>
  <c r="S79" i="14"/>
  <c r="W79" i="14"/>
  <c r="AA79" i="14"/>
  <c r="T75" i="14"/>
  <c r="X75" i="14"/>
  <c r="U75" i="14"/>
  <c r="Y75" i="14"/>
  <c r="V75" i="14"/>
  <c r="AH75" i="14" s="1"/>
  <c r="S75" i="14"/>
  <c r="W75" i="14"/>
  <c r="AA75" i="14"/>
  <c r="T71" i="14"/>
  <c r="X71" i="14"/>
  <c r="V71" i="14"/>
  <c r="AH71" i="14" s="1"/>
  <c r="AA71" i="14"/>
  <c r="W71" i="14"/>
  <c r="S71" i="14"/>
  <c r="Y71" i="14"/>
  <c r="U71" i="14"/>
  <c r="AF69" i="14"/>
  <c r="AF70" i="14"/>
  <c r="AF71" i="14"/>
  <c r="AF72" i="14"/>
  <c r="AF73" i="14"/>
  <c r="AF74" i="14"/>
  <c r="AF75" i="14"/>
  <c r="AF76" i="14"/>
  <c r="AF77" i="14"/>
  <c r="AF78" i="14"/>
  <c r="AF79" i="14"/>
  <c r="AF80" i="14"/>
  <c r="AF81" i="14"/>
  <c r="AF82" i="14"/>
  <c r="AF83" i="14"/>
  <c r="AF84" i="14"/>
  <c r="AQ72" i="14" l="1"/>
  <c r="K85" i="14"/>
  <c r="K87" i="14"/>
  <c r="AR1" i="14"/>
  <c r="AQ74" i="14"/>
  <c r="AQ78" i="14"/>
  <c r="AQ71" i="14"/>
  <c r="AQ75" i="14"/>
  <c r="AQ79" i="14"/>
  <c r="AQ83" i="14"/>
  <c r="AQ76" i="14"/>
  <c r="AQ80" i="14"/>
  <c r="AQ84" i="14"/>
  <c r="AQ77" i="14"/>
  <c r="AQ70" i="14"/>
  <c r="AQ82" i="14"/>
  <c r="AB85" i="14"/>
  <c r="AQ85" i="14"/>
  <c r="AQ69" i="14"/>
  <c r="AP85" i="14"/>
  <c r="AQ73" i="14"/>
  <c r="AQ87" i="14"/>
  <c r="AQ81" i="14"/>
  <c r="AP87" i="14"/>
  <c r="AB87" i="14"/>
  <c r="AM84" i="14"/>
  <c r="AO84" i="14" s="1"/>
  <c r="AM83" i="14"/>
  <c r="AO83" i="14" s="1"/>
  <c r="AM82" i="14"/>
  <c r="AO82" i="14" s="1"/>
  <c r="AM81" i="14"/>
  <c r="AO81" i="14" s="1"/>
  <c r="AM80" i="14"/>
  <c r="AO80" i="14" s="1"/>
  <c r="AM79" i="14"/>
  <c r="AO79" i="14" s="1"/>
  <c r="AM78" i="14"/>
  <c r="AO78" i="14" s="1"/>
  <c r="AM77" i="14"/>
  <c r="AO77" i="14" s="1"/>
  <c r="AM76" i="14"/>
  <c r="AO76" i="14" s="1"/>
  <c r="AM75" i="14"/>
  <c r="AO75" i="14" s="1"/>
  <c r="AM74" i="14"/>
  <c r="AO74" i="14" s="1"/>
  <c r="AM73" i="14"/>
  <c r="AO73" i="14" s="1"/>
  <c r="AM72" i="14"/>
  <c r="AO72" i="14" s="1"/>
  <c r="AM71" i="14"/>
  <c r="AO71" i="14" s="1"/>
  <c r="AM70" i="14"/>
  <c r="AO70" i="14" s="1"/>
  <c r="AM69" i="14"/>
  <c r="AO69" i="14" s="1"/>
  <c r="M85" i="14" l="1"/>
  <c r="M87" i="14"/>
  <c r="AG69" i="14"/>
  <c r="AG73" i="14"/>
  <c r="AI77" i="14"/>
  <c r="AG81" i="14"/>
  <c r="AG71" i="14"/>
  <c r="AI71" i="14"/>
  <c r="AG79" i="14"/>
  <c r="AI79" i="14"/>
  <c r="AI70" i="14"/>
  <c r="AE72" i="14"/>
  <c r="AI72" i="14"/>
  <c r="AG74" i="14"/>
  <c r="AE74" i="14"/>
  <c r="AI74" i="14"/>
  <c r="AG76" i="14"/>
  <c r="AI76" i="14"/>
  <c r="AE78" i="14"/>
  <c r="AI78" i="14"/>
  <c r="AE80" i="14"/>
  <c r="AE82" i="14"/>
  <c r="AG82" i="14"/>
  <c r="AI84" i="14"/>
  <c r="AG83" i="14"/>
  <c r="AI83" i="14"/>
  <c r="AI69" i="14"/>
  <c r="AI73" i="14"/>
  <c r="AG77" i="14"/>
  <c r="AI81" i="14"/>
  <c r="AI75" i="14"/>
  <c r="AG75" i="14"/>
  <c r="AG70" i="14"/>
  <c r="AG78" i="14"/>
  <c r="AI82" i="14"/>
  <c r="AG72" i="14"/>
  <c r="AG80" i="14"/>
  <c r="AI80" i="14"/>
  <c r="AG84" i="14"/>
  <c r="AE71" i="14"/>
  <c r="AC71" i="14"/>
  <c r="AE75" i="14"/>
  <c r="AC75" i="14"/>
  <c r="AE79" i="14"/>
  <c r="AC79" i="14"/>
  <c r="AE83" i="14"/>
  <c r="AC83" i="14"/>
  <c r="AE69" i="14"/>
  <c r="AC69" i="14"/>
  <c r="AE70" i="14"/>
  <c r="AC70" i="14"/>
  <c r="AC74" i="14"/>
  <c r="AC78" i="14"/>
  <c r="AC82" i="14"/>
  <c r="AE73" i="14"/>
  <c r="AC73" i="14"/>
  <c r="AE77" i="14"/>
  <c r="AC77" i="14"/>
  <c r="AE81" i="14"/>
  <c r="AC81" i="14"/>
  <c r="AC72" i="14"/>
  <c r="AE76" i="14"/>
  <c r="AC76" i="14"/>
  <c r="AC80" i="14"/>
  <c r="AE84" i="14"/>
  <c r="AC84" i="14"/>
  <c r="D69" i="14"/>
  <c r="D70" i="14"/>
  <c r="D71" i="14"/>
  <c r="D72" i="14"/>
  <c r="D73" i="14"/>
  <c r="D74" i="14"/>
  <c r="D75" i="14"/>
  <c r="D76" i="14"/>
  <c r="D77" i="14"/>
  <c r="D78" i="14"/>
  <c r="D79" i="14"/>
  <c r="D80" i="14"/>
  <c r="D81" i="14"/>
  <c r="D82" i="14"/>
  <c r="D83" i="14"/>
  <c r="D84" i="14"/>
  <c r="O87" i="14" l="1"/>
  <c r="Q87" i="14" s="1"/>
  <c r="R87" i="14" s="1"/>
  <c r="AR87" i="14" s="1"/>
  <c r="AS87" i="14" s="1"/>
  <c r="AT87" i="14" s="1"/>
  <c r="AU87" i="14" s="1"/>
  <c r="AV87" i="14" s="1"/>
  <c r="O85" i="14"/>
  <c r="Q85" i="14" s="1"/>
  <c r="R85" i="14" s="1"/>
  <c r="AR85" i="14" s="1"/>
  <c r="AS85" i="14" s="1"/>
  <c r="AT85" i="14" s="1"/>
  <c r="AU85" i="14" s="1"/>
  <c r="AV85" i="14" s="1"/>
  <c r="C69" i="14"/>
  <c r="F69" i="14" s="1"/>
  <c r="I69" i="14" s="1"/>
  <c r="C70" i="14"/>
  <c r="F70" i="14" s="1"/>
  <c r="I70" i="14" s="1"/>
  <c r="C71" i="14"/>
  <c r="F71" i="14" s="1"/>
  <c r="I71" i="14" s="1"/>
  <c r="C72" i="14"/>
  <c r="F72" i="14" s="1"/>
  <c r="I72" i="14" s="1"/>
  <c r="C73" i="14"/>
  <c r="F73" i="14" s="1"/>
  <c r="I73" i="14" s="1"/>
  <c r="C74" i="14"/>
  <c r="F74" i="14" s="1"/>
  <c r="I74" i="14" s="1"/>
  <c r="C75" i="14"/>
  <c r="F75" i="14" s="1"/>
  <c r="I75" i="14" s="1"/>
  <c r="C76" i="14"/>
  <c r="F76" i="14" s="1"/>
  <c r="I76" i="14" s="1"/>
  <c r="C77" i="14"/>
  <c r="F77" i="14" s="1"/>
  <c r="I77" i="14" s="1"/>
  <c r="C78" i="14"/>
  <c r="F78" i="14" s="1"/>
  <c r="I78" i="14" s="1"/>
  <c r="C79" i="14"/>
  <c r="F79" i="14" s="1"/>
  <c r="I79" i="14" s="1"/>
  <c r="C80" i="14"/>
  <c r="F80" i="14" s="1"/>
  <c r="I80" i="14" s="1"/>
  <c r="C81" i="14"/>
  <c r="F81" i="14" s="1"/>
  <c r="I81" i="14" s="1"/>
  <c r="C82" i="14"/>
  <c r="F82" i="14" s="1"/>
  <c r="I82" i="14" s="1"/>
  <c r="C83" i="14"/>
  <c r="F83" i="14" s="1"/>
  <c r="I83" i="14" s="1"/>
  <c r="C84" i="14"/>
  <c r="F84" i="14" s="1"/>
  <c r="I84" i="14" s="1"/>
  <c r="AD69" i="14"/>
  <c r="AD71" i="14"/>
  <c r="AD73" i="14"/>
  <c r="AD77" i="14"/>
  <c r="AD79" i="14"/>
  <c r="AD81" i="14"/>
  <c r="BC69" i="14"/>
  <c r="BC70" i="14"/>
  <c r="BC71" i="14"/>
  <c r="BC72" i="14"/>
  <c r="BC73" i="14"/>
  <c r="BC74" i="14"/>
  <c r="BC75" i="14"/>
  <c r="BC76" i="14"/>
  <c r="BC77" i="14"/>
  <c r="BC78" i="14"/>
  <c r="BC79" i="14"/>
  <c r="BC80" i="14"/>
  <c r="BC81" i="14"/>
  <c r="BC82" i="14"/>
  <c r="BC83" i="14"/>
  <c r="BC84" i="14"/>
  <c r="BE69" i="14"/>
  <c r="BE70" i="14"/>
  <c r="BE71" i="14"/>
  <c r="BE72" i="14"/>
  <c r="BE73" i="14"/>
  <c r="BE74" i="14"/>
  <c r="BE75" i="14"/>
  <c r="BE76" i="14"/>
  <c r="BE77" i="14"/>
  <c r="BE78" i="14"/>
  <c r="BE79" i="14"/>
  <c r="BE80" i="14"/>
  <c r="BE81" i="14"/>
  <c r="BE82" i="14"/>
  <c r="BE83" i="14"/>
  <c r="BE84" i="14"/>
  <c r="BH69" i="14"/>
  <c r="BH70" i="14"/>
  <c r="BH71" i="14"/>
  <c r="BH72" i="14"/>
  <c r="BH73" i="14"/>
  <c r="BH74" i="14"/>
  <c r="BH75" i="14"/>
  <c r="BH76" i="14"/>
  <c r="BH77" i="14"/>
  <c r="BH78" i="14"/>
  <c r="BH79" i="14"/>
  <c r="BH80" i="14"/>
  <c r="BH81" i="14"/>
  <c r="BH82" i="14"/>
  <c r="BH83" i="14"/>
  <c r="BH84" i="14"/>
  <c r="BK69" i="14"/>
  <c r="BK70" i="14"/>
  <c r="BK71" i="14"/>
  <c r="BK72" i="14"/>
  <c r="BK73" i="14"/>
  <c r="BK74" i="14"/>
  <c r="BK75" i="14"/>
  <c r="BK76" i="14"/>
  <c r="BK77" i="14"/>
  <c r="BK78" i="14"/>
  <c r="BK79" i="14"/>
  <c r="BK80" i="14"/>
  <c r="BK81" i="14"/>
  <c r="BK82" i="14"/>
  <c r="BK83" i="14"/>
  <c r="BK84" i="14"/>
  <c r="BN69" i="14"/>
  <c r="BN70" i="14"/>
  <c r="BN71" i="14"/>
  <c r="BN72" i="14"/>
  <c r="BN73" i="14"/>
  <c r="BN74" i="14"/>
  <c r="BN75" i="14"/>
  <c r="BN76" i="14"/>
  <c r="BN77" i="14"/>
  <c r="BN78" i="14"/>
  <c r="BN79" i="14"/>
  <c r="BN80" i="14"/>
  <c r="BN81" i="14"/>
  <c r="BN82" i="14"/>
  <c r="BN83" i="14"/>
  <c r="BN84" i="14"/>
  <c r="AW87" i="14" l="1"/>
  <c r="AX87" i="14" s="1"/>
  <c r="AY87" i="14" s="1"/>
  <c r="AZ87" i="14" s="1"/>
  <c r="BA87" i="14" s="1"/>
  <c r="BP87" i="14" s="1"/>
  <c r="BQ87" i="14" s="1"/>
  <c r="BR87" i="14" s="1"/>
  <c r="AW85" i="14"/>
  <c r="AX85" i="14" s="1"/>
  <c r="AY85" i="14" s="1"/>
  <c r="AZ85" i="14" s="1"/>
  <c r="BA85" i="14" s="1"/>
  <c r="BP85" i="14" s="1"/>
  <c r="BQ85" i="14" s="1"/>
  <c r="BR85" i="14" s="1"/>
  <c r="AP73" i="14"/>
  <c r="AP69" i="14"/>
  <c r="AP81" i="14"/>
  <c r="AP77" i="14"/>
  <c r="AB77" i="14"/>
  <c r="AB73" i="14"/>
  <c r="AB81" i="14"/>
  <c r="AB71" i="14"/>
  <c r="AB79" i="14"/>
  <c r="AB69" i="14"/>
  <c r="BF82" i="14"/>
  <c r="BI82" i="14" s="1"/>
  <c r="BL82" i="14" s="1"/>
  <c r="BO82" i="14" s="1"/>
  <c r="BF78" i="14"/>
  <c r="BI78" i="14" s="1"/>
  <c r="BL78" i="14" s="1"/>
  <c r="BO78" i="14" s="1"/>
  <c r="BF74" i="14"/>
  <c r="BI74" i="14" s="1"/>
  <c r="BL74" i="14" s="1"/>
  <c r="BO74" i="14" s="1"/>
  <c r="BF70" i="14"/>
  <c r="BI70" i="14" s="1"/>
  <c r="BL70" i="14" s="1"/>
  <c r="BO70" i="14" s="1"/>
  <c r="BF84" i="14"/>
  <c r="BI84" i="14" s="1"/>
  <c r="BL84" i="14" s="1"/>
  <c r="BO84" i="14" s="1"/>
  <c r="BF80" i="14"/>
  <c r="BI80" i="14" s="1"/>
  <c r="BL80" i="14" s="1"/>
  <c r="BO80" i="14" s="1"/>
  <c r="BF76" i="14"/>
  <c r="BI76" i="14" s="1"/>
  <c r="BL76" i="14" s="1"/>
  <c r="BO76" i="14" s="1"/>
  <c r="BF72" i="14"/>
  <c r="BI72" i="14" s="1"/>
  <c r="BL72" i="14" s="1"/>
  <c r="BO72" i="14" s="1"/>
  <c r="BF81" i="14"/>
  <c r="BI81" i="14" s="1"/>
  <c r="BL81" i="14" s="1"/>
  <c r="BO81" i="14" s="1"/>
  <c r="BF77" i="14"/>
  <c r="BI77" i="14" s="1"/>
  <c r="BL77" i="14" s="1"/>
  <c r="BO77" i="14" s="1"/>
  <c r="BF73" i="14"/>
  <c r="BI73" i="14" s="1"/>
  <c r="BL73" i="14" s="1"/>
  <c r="BO73" i="14" s="1"/>
  <c r="BF69" i="14"/>
  <c r="BI69" i="14" s="1"/>
  <c r="BL69" i="14" s="1"/>
  <c r="BO69" i="14" s="1"/>
  <c r="BF83" i="14"/>
  <c r="BI83" i="14" s="1"/>
  <c r="BL83" i="14" s="1"/>
  <c r="BO83" i="14" s="1"/>
  <c r="BF79" i="14"/>
  <c r="BI79" i="14" s="1"/>
  <c r="BL79" i="14" s="1"/>
  <c r="BO79" i="14" s="1"/>
  <c r="BF75" i="14"/>
  <c r="BI75" i="14" s="1"/>
  <c r="BL75" i="14" s="1"/>
  <c r="BO75" i="14" s="1"/>
  <c r="BF71" i="14"/>
  <c r="BI71" i="14" s="1"/>
  <c r="BL71" i="14" s="1"/>
  <c r="BO71" i="14" s="1"/>
  <c r="AD70" i="14"/>
  <c r="AD83" i="14"/>
  <c r="AP79" i="14"/>
  <c r="AP71" i="14"/>
  <c r="AD82" i="14"/>
  <c r="AD74" i="14"/>
  <c r="AD75" i="14"/>
  <c r="AD78" i="14"/>
  <c r="AD84" i="14"/>
  <c r="AD80" i="14"/>
  <c r="AD76" i="14"/>
  <c r="AD72" i="14"/>
  <c r="AP84" i="14"/>
  <c r="AP80" i="14"/>
  <c r="K74" i="14" l="1"/>
  <c r="K75" i="14"/>
  <c r="K72" i="14"/>
  <c r="K73" i="14"/>
  <c r="K78" i="14"/>
  <c r="K81" i="14"/>
  <c r="K79" i="14"/>
  <c r="K69" i="14"/>
  <c r="K76" i="14"/>
  <c r="K70" i="14"/>
  <c r="K71" i="14"/>
  <c r="K84" i="14"/>
  <c r="K82" i="14"/>
  <c r="K83" i="14"/>
  <c r="K77" i="14"/>
  <c r="K80" i="14"/>
  <c r="AP76" i="14"/>
  <c r="AP74" i="14"/>
  <c r="AP75" i="14"/>
  <c r="AP70" i="14"/>
  <c r="AP83" i="14"/>
  <c r="AP82" i="14"/>
  <c r="AP72" i="14"/>
  <c r="AP78" i="14"/>
  <c r="AB72" i="14"/>
  <c r="AB70" i="14"/>
  <c r="AB76" i="14"/>
  <c r="AB82" i="14"/>
  <c r="AB75" i="14"/>
  <c r="AB78" i="14"/>
  <c r="AB80" i="14"/>
  <c r="AB74" i="14"/>
  <c r="AB84" i="14"/>
  <c r="AB83" i="14"/>
  <c r="M70" i="14" l="1"/>
  <c r="M72" i="14"/>
  <c r="M75" i="14"/>
  <c r="M74" i="14"/>
  <c r="M71" i="14"/>
  <c r="M77" i="14"/>
  <c r="M82" i="14"/>
  <c r="M84" i="14"/>
  <c r="M69" i="14"/>
  <c r="M81" i="14"/>
  <c r="M73" i="14"/>
  <c r="M80" i="14"/>
  <c r="M83" i="14"/>
  <c r="M76" i="14"/>
  <c r="M79" i="14"/>
  <c r="M78" i="14"/>
  <c r="O80" i="14" l="1"/>
  <c r="Q80" i="14" s="1"/>
  <c r="R80" i="14" s="1"/>
  <c r="AR80" i="14" s="1"/>
  <c r="AS80" i="14" s="1"/>
  <c r="AT80" i="14" s="1"/>
  <c r="AU80" i="14" s="1"/>
  <c r="AV80" i="14" s="1"/>
  <c r="AW80" i="14" s="1"/>
  <c r="AX80" i="14" s="1"/>
  <c r="AY80" i="14" s="1"/>
  <c r="AZ80" i="14" s="1"/>
  <c r="BA80" i="14" s="1"/>
  <c r="BP80" i="14" s="1"/>
  <c r="O74" i="14"/>
  <c r="Q74" i="14" s="1"/>
  <c r="R74" i="14" s="1"/>
  <c r="AR74" i="14" s="1"/>
  <c r="AS74" i="14" s="1"/>
  <c r="AT74" i="14" s="1"/>
  <c r="AU74" i="14" s="1"/>
  <c r="AV74" i="14" s="1"/>
  <c r="O79" i="14"/>
  <c r="Q79" i="14" s="1"/>
  <c r="R79" i="14" s="1"/>
  <c r="AR79" i="14" s="1"/>
  <c r="AS79" i="14" s="1"/>
  <c r="AT79" i="14" s="1"/>
  <c r="AU79" i="14" s="1"/>
  <c r="AV79" i="14" s="1"/>
  <c r="AW79" i="14" s="1"/>
  <c r="AX79" i="14" s="1"/>
  <c r="AY79" i="14" s="1"/>
  <c r="AZ79" i="14" s="1"/>
  <c r="BA79" i="14" s="1"/>
  <c r="BP79" i="14" s="1"/>
  <c r="O73" i="14"/>
  <c r="Q73" i="14" s="1"/>
  <c r="R73" i="14" s="1"/>
  <c r="AR73" i="14" s="1"/>
  <c r="AS73" i="14" s="1"/>
  <c r="AT73" i="14" s="1"/>
  <c r="AU73" i="14" s="1"/>
  <c r="AV73" i="14" s="1"/>
  <c r="AW73" i="14" s="1"/>
  <c r="AX73" i="14" s="1"/>
  <c r="AY73" i="14" s="1"/>
  <c r="AZ73" i="14" s="1"/>
  <c r="BA73" i="14" s="1"/>
  <c r="BP73" i="14" s="1"/>
  <c r="BQ73" i="14" s="1"/>
  <c r="BR73" i="14" s="1"/>
  <c r="O82" i="14"/>
  <c r="Q82" i="14" s="1"/>
  <c r="R82" i="14" s="1"/>
  <c r="AR82" i="14" s="1"/>
  <c r="AS82" i="14" s="1"/>
  <c r="AT82" i="14" s="1"/>
  <c r="AU82" i="14" s="1"/>
  <c r="AV82" i="14" s="1"/>
  <c r="AW82" i="14" s="1"/>
  <c r="AX82" i="14" s="1"/>
  <c r="AY82" i="14" s="1"/>
  <c r="AZ82" i="14" s="1"/>
  <c r="BA82" i="14" s="1"/>
  <c r="BP82" i="14" s="1"/>
  <c r="O75" i="14"/>
  <c r="Q75" i="14" s="1"/>
  <c r="R75" i="14" s="1"/>
  <c r="AR75" i="14" s="1"/>
  <c r="AS75" i="14" s="1"/>
  <c r="AT75" i="14" s="1"/>
  <c r="AU75" i="14" s="1"/>
  <c r="AV75" i="14" s="1"/>
  <c r="O78" i="14"/>
  <c r="Q78" i="14" s="1"/>
  <c r="R78" i="14" s="1"/>
  <c r="AR78" i="14" s="1"/>
  <c r="AS78" i="14" s="1"/>
  <c r="AT78" i="14" s="1"/>
  <c r="AU78" i="14" s="1"/>
  <c r="AV78" i="14" s="1"/>
  <c r="O76" i="14"/>
  <c r="Q76" i="14" s="1"/>
  <c r="R76" i="14" s="1"/>
  <c r="AR76" i="14" s="1"/>
  <c r="AS76" i="14" s="1"/>
  <c r="AT76" i="14" s="1"/>
  <c r="AU76" i="14" s="1"/>
  <c r="AV76" i="14" s="1"/>
  <c r="O77" i="14"/>
  <c r="Q77" i="14" s="1"/>
  <c r="R77" i="14" s="1"/>
  <c r="AR77" i="14" s="1"/>
  <c r="AS77" i="14" s="1"/>
  <c r="AT77" i="14" s="1"/>
  <c r="AU77" i="14" s="1"/>
  <c r="AV77" i="14" s="1"/>
  <c r="AW77" i="14" s="1"/>
  <c r="AX77" i="14" s="1"/>
  <c r="AY77" i="14" s="1"/>
  <c r="AZ77" i="14" s="1"/>
  <c r="BA77" i="14" s="1"/>
  <c r="BP77" i="14" s="1"/>
  <c r="O72" i="14"/>
  <c r="Q72" i="14" s="1"/>
  <c r="R72" i="14" s="1"/>
  <c r="AR72" i="14" s="1"/>
  <c r="AS72" i="14" s="1"/>
  <c r="AT72" i="14" s="1"/>
  <c r="AU72" i="14" s="1"/>
  <c r="AV72" i="14" s="1"/>
  <c r="O84" i="14"/>
  <c r="Q84" i="14" s="1"/>
  <c r="R84" i="14" s="1"/>
  <c r="AR84" i="14" s="1"/>
  <c r="AS84" i="14" s="1"/>
  <c r="AT84" i="14" s="1"/>
  <c r="AU84" i="14" s="1"/>
  <c r="AV84" i="14" s="1"/>
  <c r="AW84" i="14" s="1"/>
  <c r="AX84" i="14" s="1"/>
  <c r="AY84" i="14" s="1"/>
  <c r="AZ84" i="14" s="1"/>
  <c r="BA84" i="14" s="1"/>
  <c r="BP84" i="14" s="1"/>
  <c r="O81" i="14"/>
  <c r="Q81" i="14" s="1"/>
  <c r="R81" i="14" s="1"/>
  <c r="AR81" i="14" s="1"/>
  <c r="AS81" i="14" s="1"/>
  <c r="AT81" i="14" s="1"/>
  <c r="AU81" i="14" s="1"/>
  <c r="AV81" i="14" s="1"/>
  <c r="AW81" i="14" s="1"/>
  <c r="AX81" i="14" s="1"/>
  <c r="AY81" i="14" s="1"/>
  <c r="AZ81" i="14" s="1"/>
  <c r="BA81" i="14" s="1"/>
  <c r="BP81" i="14" s="1"/>
  <c r="O83" i="14"/>
  <c r="Q83" i="14" s="1"/>
  <c r="R83" i="14" s="1"/>
  <c r="AR83" i="14" s="1"/>
  <c r="AS83" i="14" s="1"/>
  <c r="AT83" i="14" s="1"/>
  <c r="AU83" i="14" s="1"/>
  <c r="AV83" i="14" s="1"/>
  <c r="AW83" i="14" s="1"/>
  <c r="AX83" i="14" s="1"/>
  <c r="AY83" i="14" s="1"/>
  <c r="AZ83" i="14" s="1"/>
  <c r="BA83" i="14" s="1"/>
  <c r="BP83" i="14" s="1"/>
  <c r="O69" i="14"/>
  <c r="Q69" i="14" s="1"/>
  <c r="R69" i="14" s="1"/>
  <c r="AR69" i="14" s="1"/>
  <c r="AS69" i="14" s="1"/>
  <c r="AT69" i="14" s="1"/>
  <c r="AU69" i="14" s="1"/>
  <c r="AV69" i="14" s="1"/>
  <c r="AW69" i="14" s="1"/>
  <c r="AX69" i="14" s="1"/>
  <c r="AY69" i="14" s="1"/>
  <c r="AZ69" i="14" s="1"/>
  <c r="BA69" i="14" s="1"/>
  <c r="BP69" i="14" s="1"/>
  <c r="O71" i="14"/>
  <c r="Q71" i="14" s="1"/>
  <c r="R71" i="14" s="1"/>
  <c r="AR71" i="14" s="1"/>
  <c r="AS71" i="14" s="1"/>
  <c r="AT71" i="14" s="1"/>
  <c r="AU71" i="14" s="1"/>
  <c r="AV71" i="14" s="1"/>
  <c r="AW71" i="14" s="1"/>
  <c r="AX71" i="14" s="1"/>
  <c r="AY71" i="14" s="1"/>
  <c r="AZ71" i="14" s="1"/>
  <c r="BA71" i="14" s="1"/>
  <c r="BP71" i="14" s="1"/>
  <c r="O70" i="14"/>
  <c r="Q70" i="14" s="1"/>
  <c r="R70" i="14" s="1"/>
  <c r="AR70" i="14" s="1"/>
  <c r="AS70" i="14" s="1"/>
  <c r="AT70" i="14" s="1"/>
  <c r="AU70" i="14" s="1"/>
  <c r="AV70" i="14" s="1"/>
  <c r="AW76" i="14" l="1"/>
  <c r="AX76" i="14" s="1"/>
  <c r="AY76" i="14" s="1"/>
  <c r="AZ76" i="14" s="1"/>
  <c r="BA76" i="14" s="1"/>
  <c r="BP76" i="14" s="1"/>
  <c r="BQ76" i="14" s="1"/>
  <c r="BR76" i="14" s="1"/>
  <c r="AW74" i="14"/>
  <c r="AX74" i="14" s="1"/>
  <c r="AY74" i="14" s="1"/>
  <c r="AZ74" i="14" s="1"/>
  <c r="BA74" i="14" s="1"/>
  <c r="BP74" i="14" s="1"/>
  <c r="BQ74" i="14" s="1"/>
  <c r="BR74" i="14" s="1"/>
  <c r="AW72" i="14"/>
  <c r="AX72" i="14" s="1"/>
  <c r="AY72" i="14" s="1"/>
  <c r="AZ72" i="14" s="1"/>
  <c r="BA72" i="14" s="1"/>
  <c r="BP72" i="14" s="1"/>
  <c r="BQ72" i="14" s="1"/>
  <c r="BR72" i="14" s="1"/>
  <c r="AW75" i="14"/>
  <c r="AX75" i="14" s="1"/>
  <c r="AY75" i="14" s="1"/>
  <c r="AZ75" i="14" s="1"/>
  <c r="BA75" i="14" s="1"/>
  <c r="BP75" i="14" s="1"/>
  <c r="BQ75" i="14" s="1"/>
  <c r="BR75" i="14" s="1"/>
  <c r="AW78" i="14"/>
  <c r="AX78" i="14" s="1"/>
  <c r="AY78" i="14" s="1"/>
  <c r="AZ78" i="14" s="1"/>
  <c r="BA78" i="14" s="1"/>
  <c r="BP78" i="14" s="1"/>
  <c r="BQ78" i="14" s="1"/>
  <c r="BR78" i="14" s="1"/>
  <c r="AW70" i="14"/>
  <c r="AX70" i="14" s="1"/>
  <c r="AY70" i="14" s="1"/>
  <c r="AZ70" i="14" s="1"/>
  <c r="BA70" i="14" s="1"/>
  <c r="BP70" i="14" s="1"/>
  <c r="BQ70" i="14" s="1"/>
  <c r="BR70" i="14" s="1"/>
  <c r="BQ79" i="14"/>
  <c r="BR79" i="14" s="1"/>
  <c r="BQ84" i="14"/>
  <c r="BR84" i="14" s="1"/>
  <c r="BQ81" i="14"/>
  <c r="BR81" i="14" s="1"/>
  <c r="BQ77" i="14"/>
  <c r="BR77" i="14" s="1"/>
  <c r="BQ71" i="14"/>
  <c r="BR71" i="14" s="1"/>
  <c r="BQ83" i="14"/>
  <c r="BR83" i="14" s="1"/>
  <c r="BQ82" i="14"/>
  <c r="BR82" i="14" s="1"/>
  <c r="BQ69" i="14"/>
  <c r="BR69" i="14" s="1"/>
  <c r="BQ80" i="14"/>
  <c r="BR80" i="14" s="1"/>
</calcChain>
</file>

<file path=xl/comments1.xml><?xml version="1.0" encoding="utf-8"?>
<comments xmlns="http://schemas.openxmlformats.org/spreadsheetml/2006/main">
  <authors>
    <author>Steven Buri</author>
  </authors>
  <commentList>
    <comment ref="K3" authorId="0" shapeId="0">
      <text>
        <r>
          <rPr>
            <b/>
            <sz val="9"/>
            <color indexed="81"/>
            <rFont val="Tahoma"/>
            <family val="2"/>
          </rPr>
          <t>This changes any single qoutes to double qoutes, as VBA will parse double qoutes as single qoutes.</t>
        </r>
      </text>
    </comment>
  </commentList>
</comments>
</file>

<file path=xl/connections.xml><?xml version="1.0" encoding="utf-8"?>
<connections xmlns="http://schemas.openxmlformats.org/spreadsheetml/2006/main">
  <connection id="1" keepAlive="1" name="Query - Table_PrewrittenCode" description="Connection to the 'Table_PrewrittenCode' query in the workbook." type="5" refreshedVersion="6" background="1" saveData="1">
    <dbPr connection="Provider=Microsoft.Mashup.OleDb.1;Data Source=$Workbook$;Location=Table_PrewrittenCode;Extended Properties=&quot;&quot;" command="SELECT * FROM [Table_PrewrittenCode]"/>
  </connection>
</connections>
</file>

<file path=xl/sharedStrings.xml><?xml version="1.0" encoding="utf-8"?>
<sst xmlns="http://schemas.openxmlformats.org/spreadsheetml/2006/main" count="117" uniqueCount="115">
  <si>
    <t>Code</t>
  </si>
  <si>
    <t>Function Name</t>
  </si>
  <si>
    <t>Select Action</t>
  </si>
  <si>
    <t>Initial Code Pull</t>
  </si>
  <si>
    <t>For
Interaction Title</t>
  </si>
  <si>
    <t>Notes</t>
  </si>
  <si>
    <t>Fill in these variables for code to function</t>
  </si>
  <si>
    <t>Code Requires These Inputs</t>
  </si>
  <si>
    <t>For
Initial Code Requirements</t>
  </si>
  <si>
    <t>For
HTML</t>
  </si>
  <si>
    <t>For
Navigation</t>
  </si>
  <si>
    <t>For
Final Code Collection</t>
  </si>
  <si>
    <t>Formats
1st Selection</t>
  </si>
  <si>
    <t>Formats
2nd Selection</t>
  </si>
  <si>
    <t>Concatenates
Selection 1,2</t>
  </si>
  <si>
    <t>Formats
3rd Selection</t>
  </si>
  <si>
    <t>Concatenates
Selection 1,2,3</t>
  </si>
  <si>
    <t>Formats
4th Selection</t>
  </si>
  <si>
    <t>Concatenates
Selection 1,2,3,4</t>
  </si>
  <si>
    <t>Formats
5th Selection</t>
  </si>
  <si>
    <t>Concatenates
Selection 1,2,3,4,5</t>
  </si>
  <si>
    <t>Inputs
Options Into Template Code</t>
  </si>
  <si>
    <t>Inputs
Element Selector(s)</t>
  </si>
  <si>
    <t>Inputs
Single Element (ID)</t>
  </si>
  <si>
    <t>Concatenates
Element Selectors 1,2,3</t>
  </si>
  <si>
    <t>Concatenates
Element Selectors
1,2</t>
  </si>
  <si>
    <t>Inputs
Website</t>
  </si>
  <si>
    <t>Inputs
Title</t>
  </si>
  <si>
    <t>Choose
1st Selector</t>
  </si>
  <si>
    <t>Choose
2nd Selector (Optional)</t>
  </si>
  <si>
    <t>Choose
3rd Selector (Optional)</t>
  </si>
  <si>
    <t>Type
1st Selection</t>
  </si>
  <si>
    <t>Inputs
Single Element (Name)</t>
  </si>
  <si>
    <t>Inputs
Single Element (TagName)</t>
  </si>
  <si>
    <t>Inputs
Single Element (Class)</t>
  </si>
  <si>
    <t>Website Address</t>
  </si>
  <si>
    <t>Fill in the "Collects Final Code" box at the end. Be sure to save these into "Query - Template Code" after completing your project.</t>
  </si>
  <si>
    <t>Navigate to Webpage</t>
  </si>
  <si>
    <t>SubstituteGoTo</t>
  </si>
  <si>
    <t>Collects Final Code</t>
  </si>
  <si>
    <t>Inputs
Variable Names</t>
  </si>
  <si>
    <t>For
Variables</t>
  </si>
  <si>
    <t>Inputs
Most Specific Selector</t>
  </si>
  <si>
    <t>Finds
Most Specific Selector</t>
  </si>
  <si>
    <t>Finds Tagname</t>
  </si>
  <si>
    <t>Finds ID</t>
  </si>
  <si>
    <t>Finds Name</t>
  </si>
  <si>
    <t>Finds Class</t>
  </si>
  <si>
    <t>Concatenates InnerHTML</t>
  </si>
  <si>
    <t>Concatenates ID</t>
  </si>
  <si>
    <t>Concatenates Name</t>
  </si>
  <si>
    <t>Concatenates Title</t>
  </si>
  <si>
    <t>Concatenates Value</t>
  </si>
  <si>
    <t>Concatenates TabIndex</t>
  </si>
  <si>
    <t>Concatenates Class</t>
  </si>
  <si>
    <t>Finds InnerHTML</t>
  </si>
  <si>
    <t>Finds Title</t>
  </si>
  <si>
    <t>Finds Value</t>
  </si>
  <si>
    <t>Finds TabIndex</t>
  </si>
  <si>
    <t>Finds Classname</t>
  </si>
  <si>
    <t>Concatenates Classname</t>
  </si>
  <si>
    <t>Custom Code</t>
  </si>
  <si>
    <t xml:space="preserve">'Fire Javascript Event: 
Timecounter = 0
On Error Resume Next
Step!InputStepNumberHere:
    If SelectedElement Is Nothing And Timecounter &lt; MaxTime Then
        Sleep 5
        Timecounter = Timecounter + 5
        Set SelectedElement = aExplorer.document.getElementById("!InputElementIDHere")
        GoTo Step!InputStepNumberHere
    ElseIf Timecounter &gt;= MaxTime Then
        MsgBox ("Couldn't find your element @ " &amp; "Step!InputStepNumberHere"): GoTo Troubleshooter
    ElseIf Not (SelectedElement Is Nothing) Then
        On Error GoTo 0: SelectedElement.FireEvent ("!InputVariableHere")
    End If
    Set SelectedElement = Nothing
        Do While aExplorer.Busy
            Application.Wait DateAdd("s", 1, Now)
        Loop
</t>
  </si>
  <si>
    <t>Inputs Text</t>
  </si>
  <si>
    <t>Inputs Only Text Statements</t>
  </si>
  <si>
    <t>For
Text</t>
  </si>
  <si>
    <t>Variable - Enter the number of seconds you want the application to pause before proceeding.</t>
  </si>
  <si>
    <t xml:space="preserve">'UserInput(!InputTitleHere)
    !InputVariableHere = InputBox("!InputOnlyTextHere")
</t>
  </si>
  <si>
    <t xml:space="preserve">'MessageBox(!InputTitleHere)    
    Msgbox (!InputTextHere)
</t>
  </si>
  <si>
    <t>For
Selectors</t>
  </si>
  <si>
    <t>Paste
HTML</t>
  </si>
  <si>
    <t>Input
Title</t>
  </si>
  <si>
    <t>Input
Variable</t>
  </si>
  <si>
    <t>Website
Address</t>
  </si>
  <si>
    <t>For
Options</t>
  </si>
  <si>
    <t>Type
2nd Selection
(Optional)</t>
  </si>
  <si>
    <t>Enter Text</t>
  </si>
  <si>
    <t>Click Button</t>
  </si>
  <si>
    <t>Select Option</t>
  </si>
  <si>
    <t>Make Explorer Wait</t>
  </si>
  <si>
    <t>Type
3rd Selection
(Optional)</t>
  </si>
  <si>
    <t>Type
4th Selection
(Optional)</t>
  </si>
  <si>
    <t>Type
5th Selection
(Optional)</t>
  </si>
  <si>
    <t>Start Internet Explorer</t>
  </si>
  <si>
    <t xml:space="preserve">'Navigate to Webpage
    aExplorer.navigate ("!InputDesiredWebsite")
    Do While aExplorer.Busy
        Application.Wait DateAdd("s", 1, Now)
    Loop
</t>
  </si>
  <si>
    <t>For
Step Counts</t>
  </si>
  <si>
    <t>Inputs
HTML Code</t>
  </si>
  <si>
    <t>Cleans
HTML Code</t>
  </si>
  <si>
    <t>Suggested
Selector</t>
  </si>
  <si>
    <t>Finds
Most Specific
Option</t>
  </si>
  <si>
    <t>Inputs
Most Specific
Option</t>
  </si>
  <si>
    <t>Inputs
Option Addendum</t>
  </si>
  <si>
    <t>Inputs
OptionorElement 1</t>
  </si>
  <si>
    <t>Inputs
OptionorElement 2</t>
  </si>
  <si>
    <t>Title - For this action
HTML - Of the text field
Text - To input into the text field
Element Selector(s) - Autofilled
*Note: You may input a variable instead of text if needed, and variables will be used instead of text if they are input.</t>
  </si>
  <si>
    <t>Potential Selectors = VALUE/ID/NAME/TABINDEX</t>
  </si>
  <si>
    <t xml:space="preserve">Title - For this action
HTML - Of the text field
Element Selector(s) - Autofilled
</t>
  </si>
  <si>
    <t>Potential Selectors = Value/ID/Name/TabIndex/Title/Classname/InnerHTML</t>
  </si>
  <si>
    <t>HTML - Of the button
VariableName - Javascript event name, ex: Onchange, onclick, onsubmit. This will be in the HTML, however you may need to scroll up in the website html code to find it.</t>
  </si>
  <si>
    <t>Title - For this action
Variable Name - To store the information the user enters
Text - Input prompt the user is presented with</t>
  </si>
  <si>
    <t>Title - For this action
Text - To show the user
*Note: You may input a variable instead of text if needed, and variables will be used instead of text if they are input.</t>
  </si>
  <si>
    <t>Finds
Javascript Events</t>
  </si>
  <si>
    <t>Inputs Javascript Event</t>
  </si>
  <si>
    <t xml:space="preserve">'EnterText(!InputTitleHere): !InputHTMLHere
Timecounter = 0
On Error Resume Next
Step!InputStepNumberHere:
    If SelectedElement Is Nothing And Timecounter &lt; MaxTime Then
        Sleep 5
        Timecounter = Timecounter + 5
        Set SelectedElement = aExplorer.document.!InputMostSpecificSelectorHere
        GoTo Step!InputStepNumberHere
    ElseIf Timecounter &gt;= MaxTime Then
        MsgBox ("Couldn't find your element @ " &amp; "Step!InputStepNumberHere"): On Error GoTo 0 'GoTo Troubleshooter
    ElseIf Not (SelectedElement Is Nothing) Then
        On Error GoTo 0
        Set TagNameElement = aExplorer.Document.GetElementsByTagName("!InputTagNameHere")
        For Each Ele in TagnameElement
            If !InputElementSelector(s)Here Then
                Ele.Focus: Ele.Value = !InputTextHere
                On Error Resume Next: Ele.FireEvent("!InputJavascriptEventHere"): On Error GoTo 0
            End If
        Next Ele
    End If
    Set SelectedElement = Nothing
    Do While aExplorer.Busy
        Application.Wait DateAdd("s", 1, Now)
    Loop
</t>
  </si>
  <si>
    <t xml:space="preserve">'REQUIRED REFERENCES
    'Ensure These References are Checked Under Tools (Above) --&gt; References
    'Microsoft Internet Controls
    'Microsoft HTML Object Library
'SET INTERNET EXPLORER INSTANCE
    Dim aExplorer As InternetExplorer!InputOnlyTextHere
    Set aExplorer = New InternetExplorer!InputOnlyTextHere
'SET INTERNET EXPLORER VARIABLES
    With aExplorer
    .Visible = True
    .TheaterMode = True
    End With
'SET INTERNET EXPLORER NAVIGATION
    aExplorer.navigate ("!InputDesiredWebsite")
        Application.Wait DateAdd("s", 2, Now)
'SET BASE CODE VARIABLES
    MaxTime = 10000
    Dim SelectedElement as Object
</t>
  </si>
  <si>
    <t>Fire Event</t>
  </si>
  <si>
    <t>Input Box</t>
  </si>
  <si>
    <t>Message Box</t>
  </si>
  <si>
    <t>For
Javascript Events</t>
  </si>
  <si>
    <t>Input                     Text</t>
  </si>
  <si>
    <t xml:space="preserve">'ClickButton(!InputTitleHere): !InputHTMLHere
Timecounter = 0
On Error Resume Next
Step!InputStepNumberHere:
    If SelectedElement Is Nothing And Timecounter &lt; MaxTime Then
        Sleep 5
        Timecounter = Timecounter + 5
        Set SelectedElement = aExplorer.document.!InputMostSpecificSelectorHere
        GoTo Step!InputStepNumberHere
    ElseIf Timecounter &gt;= MaxTime Then
        MsgBox ("Couldn't find your element @ " &amp; "Step!InputStepNumberHere"): On Error GoTo 0 'GoTo Troubleshooter
    ElseIf Not (SelectedElement Is Nothing) Then
        On Error GoTo 0
        Set TagNameElement = aExplorer.Document.GetElementsByTagName("!InputTagNameHere")
        For Each Ele in TagnameElement
            If !InputElementSelector(s)Here Then
                Ele.Focus: Ele.Focus: Ele.Focus: Ele.Focus: Ele.Click
                On Error Resume Next
                    If aExplorer.readyState &lt;&gt; READYSTATE_COMPLETE Then
                    Ele.FireEvent("!InputJavascriptEventHere")
                    End If
                On Error GoTo 0
                End If
        Next Ele
    End If
    Set SelectedElement = Nothing
    Do While aExplorer.Busy
        Application.Wait DateAdd("s", 1, Now)
    Loop
</t>
  </si>
  <si>
    <t xml:space="preserve">'OptionSelection(!InputTitleHere): !InputHTMLHere
Timecounter = 0
On Error Resume Next
Step!InputStepNumberHere:
    If SelectedElement Is Nothing And Timecounter &lt; MaxTime Then
        Sleep 5
        Timecounter = Timecounter + 5
        Set SelectedElement = aExplorer.document.!InputMostSpecificSelectorHere
        GoTo Step!InputStepNumberHere
    ElseIf Timecounter &gt;= MaxTime Then
        MsgBox ("Couldn't find your element @ " &amp; "Step!InputStepNumberHere"): On Error GoTo 0 'GoTo Troubleshooter
    ElseIf Not (SelectedElement Is Nothing) Then
        On Error GoTo 0
       Set TagorIDElement = aExplorer.document.!InputMostSpecificOptionSelectorHere
        For Each Ele In !InputTagorIDElementWithorWithoutOptionsHere
            !InputOptionforIDorOptionSelectorsHere1
            !InputOptionsforIDorOptionSelectorsHere2
                Ele.Focus
                On Error Resume Next: Ele.FireEvent("!InputJavascriptEventHere"): !InputSelectedIndex Ele.Selected = True: On Error GoTo 0
            End If
        Next Ele
    End If
    Do While aExplorer.Busy
        Application.Wait DateAdd("s", 1, Now)
    Loop
</t>
  </si>
  <si>
    <t>Title - For this action
HTML - Of the button
Element Selector(s) - Autofilled
Option(s) - Type these in from the HTML
Variable #, starting from zero - indicate which number the variable is. For instance if there is a drop down with three options (USA, France, Germany) and you wanted to select USA input 0. If you want to select France input 1.</t>
  </si>
  <si>
    <t xml:space="preserve">'Make Explorer Wait
        Application.Wait DateAdd("s", !InputVariableHere, Now)
        Do While aExplorer.Busy
            Application.Wait DateAdd("s", 1, Now)
        Loop
</t>
  </si>
  <si>
    <t>'''************Custom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</si>
</sst>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scheme val="minor"/>
    </font>
    <font>
      <b/>
      <sz val="11"/>
      <color rgb="FFFFFF00"/>
      <name val="Calibri"/>
      <family val="2"/>
      <scheme val="minor"/>
    </font>
    <font>
      <b/>
      <sz val="11"/>
      <color theme="0"/>
      <name val="Calibri"/>
      <family val="2"/>
      <scheme val="minor"/>
    </font>
    <font>
      <sz val="11"/>
      <color theme="2" tint="-0.749992370372631"/>
      <name val="Calibri"/>
      <family val="2"/>
      <scheme val="minor"/>
    </font>
    <font>
      <b/>
      <sz val="9"/>
      <color indexed="81"/>
      <name val="Tahoma"/>
      <family val="2"/>
    </font>
    <font>
      <b/>
      <sz val="11"/>
      <color theme="1"/>
      <name val="Calibri"/>
      <family val="2"/>
      <scheme val="minor"/>
    </font>
    <font>
      <sz val="11"/>
      <color theme="0"/>
      <name val="Calibri"/>
      <family val="2"/>
      <scheme val="minor"/>
    </font>
    <font>
      <sz val="8"/>
      <color theme="0"/>
      <name val="Calibri"/>
      <family val="2"/>
      <scheme val="minor"/>
    </font>
    <font>
      <sz val="11"/>
      <color rgb="FFFFFF00"/>
      <name val="Calibri"/>
      <family val="2"/>
      <scheme val="minor"/>
    </font>
    <font>
      <sz val="10"/>
      <color theme="0"/>
      <name val="Calibri"/>
      <family val="2"/>
      <scheme val="minor"/>
    </font>
    <font>
      <sz val="10"/>
      <name val="Calibri"/>
      <family val="2"/>
      <scheme val="minor"/>
    </font>
  </fonts>
  <fills count="6">
    <fill>
      <patternFill patternType="none"/>
    </fill>
    <fill>
      <patternFill patternType="gray125"/>
    </fill>
    <fill>
      <patternFill patternType="solid">
        <fgColor theme="1" tint="0.14999847407452621"/>
        <bgColor indexed="64"/>
      </patternFill>
    </fill>
    <fill>
      <patternFill patternType="solid">
        <fgColor rgb="FF63738B"/>
        <bgColor indexed="64"/>
      </patternFill>
    </fill>
    <fill>
      <patternFill patternType="solid">
        <fgColor rgb="FFC7CDD7"/>
        <bgColor indexed="64"/>
      </patternFill>
    </fill>
    <fill>
      <patternFill patternType="solid">
        <fgColor theme="2" tint="-0.749992370372631"/>
        <bgColor indexed="64"/>
      </patternFill>
    </fill>
  </fills>
  <borders count="31">
    <border>
      <left/>
      <right/>
      <top/>
      <bottom/>
      <diagonal/>
    </border>
    <border>
      <left/>
      <right/>
      <top style="thin">
        <color theme="4" tint="0.39997558519241921"/>
      </top>
      <bottom/>
      <diagonal/>
    </border>
    <border>
      <left style="dashDotDot">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theme="0" tint="-0.34998626667073579"/>
      </left>
      <right style="thin">
        <color theme="0" tint="-0.34998626667073579"/>
      </right>
      <top style="thin">
        <color indexed="64"/>
      </top>
      <bottom style="thin">
        <color indexed="64"/>
      </bottom>
      <diagonal/>
    </border>
    <border>
      <left style="thin">
        <color theme="0" tint="-0.34998626667073579"/>
      </left>
      <right style="thin">
        <color theme="0" tint="-0.34998626667073579"/>
      </right>
      <top/>
      <bottom style="thin">
        <color theme="0" tint="-0.34998626667073579"/>
      </bottom>
      <diagonal/>
    </border>
    <border>
      <left/>
      <right style="thin">
        <color theme="1"/>
      </right>
      <top/>
      <bottom style="dashDotDot">
        <color theme="0" tint="-0.34998626667073579"/>
      </bottom>
      <diagonal/>
    </border>
    <border>
      <left style="dashDotDot">
        <color theme="0" tint="-0.34998626667073579"/>
      </left>
      <right style="thin">
        <color theme="1"/>
      </right>
      <top style="dashDotDot">
        <color theme="0" tint="-0.34998626667073579"/>
      </top>
      <bottom/>
      <diagonal/>
    </border>
    <border>
      <left/>
      <right style="thin">
        <color theme="0" tint="-0.34998626667073579"/>
      </right>
      <top/>
      <bottom style="thin">
        <color theme="0" tint="-0.34998626667073579"/>
      </bottom>
      <diagonal/>
    </border>
    <border>
      <left style="dashDotDot">
        <color theme="0" tint="-0.34998626667073579"/>
      </left>
      <right style="dashDotDot">
        <color theme="0" tint="-0.34998626667073579"/>
      </right>
      <top style="dashDotDot">
        <color theme="0" tint="-0.34998626667073579"/>
      </top>
      <bottom style="dashDotDot">
        <color theme="0" tint="-0.34998626667073579"/>
      </bottom>
      <diagonal/>
    </border>
    <border>
      <left/>
      <right style="thin">
        <color theme="0" tint="-0.34998626667073579"/>
      </right>
      <top style="thin">
        <color indexed="64"/>
      </top>
      <bottom style="thin">
        <color indexed="64"/>
      </bottom>
      <diagonal/>
    </border>
    <border>
      <left style="dashDotDot">
        <color theme="0" tint="-0.34998626667073579"/>
      </left>
      <right/>
      <top style="dashDotDot">
        <color theme="0" tint="-0.34998626667073579"/>
      </top>
      <bottom style="dashDotDot">
        <color theme="0" tint="-0.34998626667073579"/>
      </bottom>
      <diagonal/>
    </border>
    <border>
      <left/>
      <right style="dashDotDot">
        <color theme="0" tint="-0.34998626667073579"/>
      </right>
      <top style="dashDotDot">
        <color theme="0" tint="-0.34998626667073579"/>
      </top>
      <bottom style="dashDotDot">
        <color theme="0" tint="-0.34998626667073579"/>
      </bottom>
      <diagonal/>
    </border>
    <border>
      <left style="thin">
        <color theme="1"/>
      </left>
      <right style="thin">
        <color indexed="64"/>
      </right>
      <top style="thin">
        <color indexed="64"/>
      </top>
      <bottom style="thin">
        <color indexed="64"/>
      </bottom>
      <diagonal/>
    </border>
    <border>
      <left/>
      <right style="thin">
        <color theme="0" tint="-0.34998626667073579"/>
      </right>
      <top/>
      <bottom style="dashDotDot">
        <color theme="0" tint="-0.34998626667073579"/>
      </bottom>
      <diagonal/>
    </border>
    <border>
      <left style="thin">
        <color theme="0" tint="-0.34998626667073579"/>
      </left>
      <right style="thin">
        <color theme="0" tint="-0.34998626667073579"/>
      </right>
      <top/>
      <bottom style="dashDotDot">
        <color theme="0" tint="-0.34998626667073579"/>
      </bottom>
      <diagonal/>
    </border>
    <border>
      <left style="thin">
        <color theme="0" tint="-0.34998626667073579"/>
      </left>
      <right style="thin">
        <color theme="0" tint="-0.34998626667073579"/>
      </right>
      <top/>
      <bottom/>
      <diagonal/>
    </border>
    <border>
      <left/>
      <right style="thin">
        <color theme="0" tint="-0.34998626667073579"/>
      </right>
      <top/>
      <bottom/>
      <diagonal/>
    </border>
    <border>
      <left/>
      <right style="thin">
        <color theme="1"/>
      </right>
      <top style="thin">
        <color indexed="64"/>
      </top>
      <bottom style="thin">
        <color indexed="64"/>
      </bottom>
      <diagonal/>
    </border>
    <border>
      <left style="dashDotDot">
        <color indexed="64"/>
      </left>
      <right style="thin">
        <color theme="0" tint="-0.34998626667073579"/>
      </right>
      <top/>
      <bottom/>
      <diagonal/>
    </border>
    <border>
      <left/>
      <right/>
      <top style="dashDotDot">
        <color theme="0" tint="-0.34998626667073579"/>
      </top>
      <bottom style="dashDotDot">
        <color theme="0" tint="-0.34998626667073579"/>
      </bottom>
      <diagonal/>
    </border>
    <border>
      <left style="thin">
        <color theme="0" tint="-0.34998626667073579"/>
      </left>
      <right style="thin">
        <color theme="0" tint="-0.34998626667073579"/>
      </right>
      <top style="thin">
        <color indexed="64"/>
      </top>
      <bottom style="dashDotDot">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dashDotDot">
        <color theme="0" tint="-0.34998626667073579"/>
      </right>
      <top style="dashDotDot">
        <color theme="0" tint="-0.34998626667073579"/>
      </top>
      <bottom style="dashDotDot">
        <color theme="0" tint="-0.34998626667073579"/>
      </bottom>
      <diagonal/>
    </border>
    <border>
      <left style="dashDotDot">
        <color theme="0" tint="-0.34998626667073579"/>
      </left>
      <right style="thin">
        <color theme="0" tint="-0.34998626667073579"/>
      </right>
      <top style="thin">
        <color indexed="64"/>
      </top>
      <bottom style="thin">
        <color indexed="64"/>
      </bottom>
      <diagonal/>
    </border>
    <border>
      <left style="thin">
        <color indexed="64"/>
      </left>
      <right style="dashDotDot">
        <color theme="0" tint="-0.34998626667073579"/>
      </right>
      <top style="dashDotDot">
        <color theme="0" tint="-0.34998626667073579"/>
      </top>
      <bottom style="dashDotDot">
        <color theme="0" tint="-0.34998626667073579"/>
      </bottom>
      <diagonal/>
    </border>
    <border>
      <left style="thin">
        <color theme="0" tint="-0.34998626667073579"/>
      </left>
      <right style="thin">
        <color theme="0" tint="-0.34998626667073579"/>
      </right>
      <top style="dashDotDot">
        <color theme="0" tint="-0.34998626667073579"/>
      </top>
      <bottom style="dashDotDot">
        <color theme="0" tint="-0.34998626667073579"/>
      </bottom>
      <diagonal/>
    </border>
  </borders>
  <cellStyleXfs count="1">
    <xf numFmtId="0" fontId="0" fillId="0" borderId="0"/>
  </cellStyleXfs>
  <cellXfs count="82">
    <xf numFmtId="0" fontId="0" fillId="0" borderId="0" xfId="0"/>
    <xf numFmtId="0" fontId="0" fillId="2" borderId="0" xfId="0" applyFill="1" applyProtection="1">
      <protection locked="0"/>
    </xf>
    <xf numFmtId="0" fontId="0" fillId="2" borderId="0" xfId="0" applyFill="1" applyAlignment="1" applyProtection="1">
      <alignment wrapText="1"/>
      <protection locked="0"/>
    </xf>
    <xf numFmtId="0" fontId="0" fillId="2" borderId="0" xfId="0" applyFill="1" applyAlignment="1" applyProtection="1">
      <alignment horizontal="center" vertical="center"/>
      <protection locked="0"/>
    </xf>
    <xf numFmtId="49" fontId="0" fillId="2" borderId="0" xfId="0" applyNumberFormat="1" applyFill="1" applyProtection="1">
      <protection locked="0"/>
    </xf>
    <xf numFmtId="0" fontId="0" fillId="2" borderId="0" xfId="0" applyNumberFormat="1" applyFill="1" applyProtection="1">
      <protection locked="0"/>
    </xf>
    <xf numFmtId="0" fontId="0" fillId="2" borderId="0" xfId="0" applyNumberFormat="1" applyFill="1" applyAlignment="1" applyProtection="1">
      <alignment wrapText="1"/>
      <protection locked="0"/>
    </xf>
    <xf numFmtId="49" fontId="0" fillId="2" borderId="0" xfId="0" applyNumberFormat="1" applyFill="1" applyAlignment="1" applyProtection="1">
      <alignment wrapText="1"/>
      <protection locked="0"/>
    </xf>
    <xf numFmtId="0" fontId="0" fillId="0" borderId="0" xfId="0" applyNumberFormat="1"/>
    <xf numFmtId="0" fontId="0" fillId="0" borderId="0" xfId="0" quotePrefix="1" applyNumberFormat="1" applyAlignment="1">
      <alignment wrapText="1"/>
    </xf>
    <xf numFmtId="0" fontId="0" fillId="0" borderId="0" xfId="0" applyNumberFormat="1" applyAlignment="1">
      <alignment wrapText="1"/>
    </xf>
    <xf numFmtId="0" fontId="0" fillId="0" borderId="0" xfId="0" applyNumberFormat="1" applyAlignment="1">
      <alignment horizontal="left" vertical="top"/>
    </xf>
    <xf numFmtId="0" fontId="0" fillId="0" borderId="0" xfId="0" applyAlignment="1">
      <alignment horizontal="left" vertical="top"/>
    </xf>
    <xf numFmtId="0" fontId="0" fillId="2" borderId="0" xfId="0" applyFont="1" applyFill="1" applyProtection="1">
      <protection locked="0"/>
    </xf>
    <xf numFmtId="0" fontId="0" fillId="2" borderId="0" xfId="0" applyFont="1" applyFill="1" applyAlignment="1" applyProtection="1">
      <alignment wrapText="1"/>
      <protection locked="0"/>
    </xf>
    <xf numFmtId="0" fontId="0" fillId="2" borderId="0" xfId="0" applyFill="1"/>
    <xf numFmtId="0" fontId="0" fillId="2" borderId="0" xfId="0" applyFill="1" applyProtection="1"/>
    <xf numFmtId="0" fontId="0" fillId="4" borderId="3" xfId="0" applyFont="1" applyFill="1" applyBorder="1" applyAlignment="1" applyProtection="1">
      <alignment horizontal="center" vertical="center" wrapText="1"/>
    </xf>
    <xf numFmtId="0" fontId="0" fillId="2" borderId="0" xfId="0" applyFill="1" applyBorder="1" applyProtection="1">
      <protection locked="0"/>
    </xf>
    <xf numFmtId="0" fontId="3" fillId="4" borderId="3" xfId="0" applyFont="1" applyFill="1" applyBorder="1" applyAlignment="1" applyProtection="1">
      <alignment horizontal="center" vertical="center" wrapText="1"/>
    </xf>
    <xf numFmtId="0" fontId="5" fillId="5" borderId="1" xfId="0" applyNumberFormat="1" applyFont="1" applyFill="1" applyBorder="1" applyAlignment="1" applyProtection="1">
      <alignment horizontal="center" vertical="center" wrapText="1"/>
      <protection locked="0"/>
    </xf>
    <xf numFmtId="0" fontId="1" fillId="5" borderId="0" xfId="0" applyNumberFormat="1" applyFont="1" applyFill="1" applyBorder="1" applyAlignment="1" applyProtection="1">
      <alignment horizontal="center" vertical="center" wrapText="1"/>
    </xf>
    <xf numFmtId="49" fontId="2" fillId="5" borderId="23" xfId="0" applyNumberFormat="1" applyFont="1" applyFill="1" applyBorder="1" applyAlignment="1" applyProtection="1">
      <alignment horizontal="center" vertical="center" wrapText="1"/>
    </xf>
    <xf numFmtId="0" fontId="2" fillId="5" borderId="21" xfId="0" applyFont="1" applyFill="1" applyBorder="1" applyAlignment="1" applyProtection="1">
      <alignment horizontal="center" vertical="center" wrapText="1"/>
    </xf>
    <xf numFmtId="0" fontId="2" fillId="5" borderId="0" xfId="0" applyFont="1" applyFill="1" applyBorder="1" applyAlignment="1" applyProtection="1">
      <alignment horizontal="center" vertical="center" wrapText="1"/>
    </xf>
    <xf numFmtId="49" fontId="2" fillId="5" borderId="9" xfId="0" applyNumberFormat="1" applyFont="1" applyFill="1" applyBorder="1" applyAlignment="1" applyProtection="1">
      <alignment horizontal="center" vertical="center" wrapText="1"/>
    </xf>
    <xf numFmtId="0" fontId="2" fillId="5" borderId="12" xfId="0" applyFont="1" applyFill="1" applyBorder="1" applyAlignment="1" applyProtection="1">
      <alignment horizontal="center" vertical="center" wrapText="1"/>
    </xf>
    <xf numFmtId="0" fontId="2" fillId="5" borderId="9" xfId="0" applyFont="1" applyFill="1" applyBorder="1" applyAlignment="1" applyProtection="1">
      <alignment horizontal="center" vertical="center" wrapText="1"/>
    </xf>
    <xf numFmtId="0" fontId="2" fillId="5" borderId="10" xfId="0" applyNumberFormat="1" applyFont="1" applyFill="1" applyBorder="1" applyAlignment="1" applyProtection="1">
      <alignment horizontal="center" vertical="center" wrapText="1"/>
    </xf>
    <xf numFmtId="0" fontId="7" fillId="5" borderId="16" xfId="0" applyNumberFormat="1" applyFont="1" applyFill="1" applyBorder="1" applyAlignment="1" applyProtection="1">
      <alignment horizontal="left" vertical="top" wrapText="1"/>
      <protection locked="0"/>
    </xf>
    <xf numFmtId="0" fontId="7" fillId="5" borderId="15" xfId="0" applyNumberFormat="1" applyFont="1" applyFill="1" applyBorder="1" applyAlignment="1" applyProtection="1">
      <alignment horizontal="left" vertical="top" wrapText="1"/>
      <protection locked="0"/>
    </xf>
    <xf numFmtId="0" fontId="7" fillId="5" borderId="16" xfId="0" applyNumberFormat="1" applyFont="1" applyFill="1" applyBorder="1" applyAlignment="1" applyProtection="1">
      <alignment horizontal="left" vertical="top" wrapText="1"/>
    </xf>
    <xf numFmtId="0" fontId="7" fillId="5" borderId="13" xfId="0" applyNumberFormat="1" applyFont="1" applyFill="1" applyBorder="1" applyAlignment="1" applyProtection="1">
      <alignment horizontal="left" vertical="top" wrapText="1"/>
    </xf>
    <xf numFmtId="0" fontId="7" fillId="5" borderId="15" xfId="0" applyNumberFormat="1" applyFont="1" applyFill="1" applyBorder="1" applyAlignment="1" applyProtection="1">
      <alignment horizontal="left" vertical="top" wrapText="1"/>
    </xf>
    <xf numFmtId="0" fontId="6" fillId="5" borderId="13" xfId="0" applyNumberFormat="1" applyFont="1" applyFill="1" applyBorder="1" applyAlignment="1" applyProtection="1">
      <alignment horizontal="left" vertical="top" wrapText="1"/>
    </xf>
    <xf numFmtId="0" fontId="7" fillId="5" borderId="13" xfId="0" applyFont="1" applyFill="1" applyBorder="1" applyAlignment="1" applyProtection="1">
      <alignment horizontal="left" vertical="top" wrapText="1"/>
    </xf>
    <xf numFmtId="0" fontId="7" fillId="5" borderId="16" xfId="0" applyFont="1" applyFill="1" applyBorder="1" applyAlignment="1" applyProtection="1">
      <alignment horizontal="left" vertical="top" wrapText="1"/>
    </xf>
    <xf numFmtId="0" fontId="7" fillId="5" borderId="11" xfId="0" applyNumberFormat="1" applyFont="1" applyFill="1" applyBorder="1" applyAlignment="1" applyProtection="1">
      <alignment horizontal="left" vertical="top" wrapText="1"/>
    </xf>
    <xf numFmtId="0" fontId="7" fillId="5" borderId="8" xfId="0" applyNumberFormat="1" applyFont="1" applyFill="1" applyBorder="1" applyAlignment="1" applyProtection="1">
      <alignment horizontal="left" vertical="top" wrapText="1"/>
      <protection locked="0"/>
    </xf>
    <xf numFmtId="0" fontId="7" fillId="5" borderId="24" xfId="0" applyNumberFormat="1" applyFont="1" applyFill="1" applyBorder="1" applyAlignment="1" applyProtection="1">
      <alignment horizontal="left" vertical="top" wrapText="1"/>
      <protection locked="0"/>
    </xf>
    <xf numFmtId="0" fontId="8" fillId="5" borderId="2" xfId="0" applyNumberFormat="1" applyFont="1" applyFill="1" applyBorder="1" applyAlignment="1" applyProtection="1">
      <alignment horizontal="center" vertical="center" wrapText="1"/>
    </xf>
    <xf numFmtId="0" fontId="1" fillId="5" borderId="20" xfId="0" applyNumberFormat="1" applyFont="1" applyFill="1" applyBorder="1" applyAlignment="1" applyProtection="1">
      <alignment horizontal="center" vertical="center" wrapText="1"/>
    </xf>
    <xf numFmtId="0" fontId="1" fillId="5" borderId="0" xfId="0" applyFont="1" applyFill="1" applyBorder="1" applyAlignment="1" applyProtection="1">
      <alignment horizontal="center" vertical="center" wrapText="1"/>
    </xf>
    <xf numFmtId="0" fontId="1" fillId="5" borderId="20" xfId="0" applyFont="1" applyFill="1" applyBorder="1" applyAlignment="1" applyProtection="1">
      <alignment horizontal="center" vertical="center" wrapText="1"/>
    </xf>
    <xf numFmtId="0" fontId="1" fillId="5" borderId="21" xfId="0" applyFont="1" applyFill="1" applyBorder="1" applyAlignment="1" applyProtection="1">
      <alignment horizontal="center" vertical="center" wrapText="1"/>
    </xf>
    <xf numFmtId="0" fontId="1" fillId="5" borderId="18" xfId="0" applyFont="1" applyFill="1" applyBorder="1" applyAlignment="1" applyProtection="1">
      <alignment horizontal="center" vertical="center" wrapText="1"/>
    </xf>
    <xf numFmtId="0" fontId="1" fillId="5" borderId="19" xfId="0" applyFont="1" applyFill="1" applyBorder="1" applyAlignment="1" applyProtection="1">
      <alignment horizontal="center" vertical="center" wrapText="1"/>
    </xf>
    <xf numFmtId="0" fontId="1" fillId="5" borderId="25" xfId="0" applyFont="1" applyFill="1" applyBorder="1" applyAlignment="1" applyProtection="1">
      <alignment horizontal="center" vertical="center" wrapText="1"/>
    </xf>
    <xf numFmtId="0" fontId="7" fillId="5" borderId="13" xfId="0" applyNumberFormat="1" applyFont="1" applyFill="1" applyBorder="1" applyAlignment="1" applyProtection="1">
      <alignment horizontal="left" vertical="top" wrapText="1"/>
      <protection locked="0"/>
    </xf>
    <xf numFmtId="0" fontId="0" fillId="4" borderId="3" xfId="0" applyFont="1" applyFill="1" applyBorder="1" applyAlignment="1" applyProtection="1">
      <alignment vertical="center" wrapText="1"/>
    </xf>
    <xf numFmtId="0" fontId="0" fillId="4" borderId="5" xfId="0" applyFont="1" applyFill="1" applyBorder="1" applyAlignment="1" applyProtection="1">
      <alignment vertical="center" wrapText="1"/>
    </xf>
    <xf numFmtId="0" fontId="3" fillId="4" borderId="3" xfId="0" applyNumberFormat="1" applyFont="1" applyFill="1" applyBorder="1" applyAlignment="1" applyProtection="1">
      <alignment horizontal="center" vertical="center" wrapText="1"/>
    </xf>
    <xf numFmtId="49" fontId="9" fillId="5" borderId="7" xfId="0" applyNumberFormat="1" applyFont="1" applyFill="1" applyBorder="1" applyAlignment="1" applyProtection="1">
      <alignment horizontal="center" vertical="center" wrapText="1"/>
      <protection locked="0"/>
    </xf>
    <xf numFmtId="0" fontId="9" fillId="5" borderId="14" xfId="0" applyNumberFormat="1" applyFont="1" applyFill="1" applyBorder="1" applyAlignment="1" applyProtection="1">
      <alignment horizontal="center" vertical="center" wrapText="1"/>
      <protection locked="0"/>
    </xf>
    <xf numFmtId="0" fontId="9" fillId="5" borderId="8" xfId="0" applyNumberFormat="1" applyFont="1" applyFill="1" applyBorder="1" applyAlignment="1" applyProtection="1">
      <alignment horizontal="center" vertical="center" wrapText="1"/>
      <protection locked="0"/>
    </xf>
    <xf numFmtId="49" fontId="9" fillId="5" borderId="8" xfId="0" applyNumberFormat="1" applyFont="1" applyFill="1" applyBorder="1" applyAlignment="1" applyProtection="1">
      <alignment horizontal="center" vertical="center" wrapText="1"/>
      <protection locked="0"/>
    </xf>
    <xf numFmtId="49" fontId="0" fillId="4" borderId="22" xfId="0" applyNumberFormat="1" applyFont="1" applyFill="1" applyBorder="1" applyAlignment="1" applyProtection="1">
      <alignment vertical="center" wrapText="1"/>
    </xf>
    <xf numFmtId="49" fontId="0" fillId="4" borderId="3" xfId="0" applyNumberFormat="1" applyFont="1" applyFill="1" applyBorder="1" applyAlignment="1" applyProtection="1">
      <alignment horizontal="center" wrapText="1"/>
    </xf>
    <xf numFmtId="0" fontId="7" fillId="5" borderId="26" xfId="0" applyNumberFormat="1" applyFont="1" applyFill="1" applyBorder="1" applyAlignment="1" applyProtection="1">
      <alignment horizontal="left" vertical="top" wrapText="1"/>
      <protection locked="0"/>
    </xf>
    <xf numFmtId="0" fontId="7" fillId="5" borderId="27" xfId="0" applyNumberFormat="1" applyFont="1" applyFill="1" applyBorder="1" applyAlignment="1" applyProtection="1">
      <alignment horizontal="left" vertical="top" wrapText="1"/>
      <protection locked="0"/>
    </xf>
    <xf numFmtId="0" fontId="7" fillId="5" borderId="27" xfId="0" applyNumberFormat="1" applyFont="1" applyFill="1" applyBorder="1" applyAlignment="1" applyProtection="1">
      <alignment horizontal="left" vertical="top" wrapText="1"/>
    </xf>
    <xf numFmtId="0" fontId="9" fillId="5" borderId="28" xfId="0" applyNumberFormat="1" applyFont="1" applyFill="1" applyBorder="1" applyAlignment="1" applyProtection="1">
      <alignment horizontal="center" vertical="center" wrapText="1"/>
      <protection locked="0"/>
    </xf>
    <xf numFmtId="0" fontId="7" fillId="5" borderId="27" xfId="0" applyFont="1" applyFill="1" applyBorder="1" applyAlignment="1" applyProtection="1">
      <alignment horizontal="left" vertical="top" wrapText="1"/>
    </xf>
    <xf numFmtId="0" fontId="5" fillId="3" borderId="3" xfId="0" applyNumberFormat="1" applyFont="1" applyFill="1" applyBorder="1" applyAlignment="1" applyProtection="1">
      <alignment horizontal="center" vertical="center" wrapText="1"/>
      <protection locked="0"/>
    </xf>
    <xf numFmtId="0" fontId="7" fillId="5" borderId="29" xfId="0" applyNumberFormat="1" applyFont="1" applyFill="1" applyBorder="1" applyAlignment="1" applyProtection="1">
      <alignment horizontal="left" vertical="top" wrapText="1"/>
    </xf>
    <xf numFmtId="49" fontId="10" fillId="5" borderId="8" xfId="0" applyNumberFormat="1" applyFont="1" applyFill="1" applyBorder="1" applyAlignment="1" applyProtection="1">
      <alignment horizontal="center" vertical="center" wrapText="1"/>
      <protection locked="0"/>
    </xf>
    <xf numFmtId="0" fontId="7" fillId="5" borderId="30" xfId="0" applyNumberFormat="1" applyFont="1" applyFill="1" applyBorder="1" applyAlignment="1" applyProtection="1">
      <alignment horizontal="left" vertical="top" wrapText="1"/>
    </xf>
    <xf numFmtId="49" fontId="1" fillId="5" borderId="18" xfId="0" applyNumberFormat="1" applyFont="1" applyFill="1" applyBorder="1" applyAlignment="1" applyProtection="1">
      <alignment horizontal="center" vertical="center" wrapText="1"/>
    </xf>
    <xf numFmtId="49" fontId="7" fillId="5" borderId="13" xfId="0" applyNumberFormat="1" applyFont="1" applyFill="1" applyBorder="1" applyAlignment="1" applyProtection="1">
      <alignment horizontal="left" vertical="top" wrapText="1"/>
    </xf>
    <xf numFmtId="49" fontId="9" fillId="5" borderId="14" xfId="0" applyNumberFormat="1" applyFont="1" applyFill="1" applyBorder="1" applyAlignment="1" applyProtection="1">
      <alignment horizontal="center" vertical="center" wrapText="1"/>
      <protection locked="0"/>
    </xf>
    <xf numFmtId="49" fontId="9" fillId="5" borderId="28" xfId="0" applyNumberFormat="1" applyFont="1" applyFill="1" applyBorder="1" applyAlignment="1" applyProtection="1">
      <alignment horizontal="center" vertical="center" wrapText="1"/>
      <protection locked="0"/>
    </xf>
    <xf numFmtId="49" fontId="7" fillId="5" borderId="27" xfId="0" applyNumberFormat="1" applyFont="1" applyFill="1" applyBorder="1" applyAlignment="1" applyProtection="1">
      <alignment horizontal="left" vertical="top" wrapText="1"/>
    </xf>
    <xf numFmtId="49" fontId="0" fillId="2" borderId="0" xfId="0" applyNumberFormat="1" applyFill="1"/>
    <xf numFmtId="49" fontId="0" fillId="4" borderId="4" xfId="0" applyNumberFormat="1" applyFont="1" applyFill="1" applyBorder="1" applyAlignment="1" applyProtection="1">
      <alignment horizontal="center" vertical="center" wrapText="1"/>
    </xf>
    <xf numFmtId="0" fontId="0" fillId="4" borderId="3" xfId="0" applyFont="1" applyFill="1" applyBorder="1" applyAlignment="1" applyProtection="1">
      <alignment horizontal="center" vertical="center" wrapText="1"/>
    </xf>
    <xf numFmtId="0" fontId="0" fillId="4" borderId="3" xfId="0" applyNumberFormat="1" applyFont="1" applyFill="1" applyBorder="1" applyAlignment="1" applyProtection="1">
      <alignment horizontal="center" vertical="center" wrapText="1"/>
    </xf>
    <xf numFmtId="0" fontId="0" fillId="4" borderId="5" xfId="0" applyNumberFormat="1" applyFont="1" applyFill="1" applyBorder="1" applyAlignment="1" applyProtection="1">
      <alignment horizontal="center" vertical="center" wrapText="1"/>
    </xf>
    <xf numFmtId="0" fontId="0" fillId="4" borderId="5" xfId="0"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0" fillId="4" borderId="5" xfId="0" applyFont="1" applyFill="1" applyBorder="1" applyAlignment="1" applyProtection="1">
      <alignment horizontal="center" vertical="center" wrapText="1"/>
    </xf>
    <xf numFmtId="49" fontId="0" fillId="4" borderId="6" xfId="0" applyNumberFormat="1" applyFont="1" applyFill="1" applyBorder="1" applyAlignment="1" applyProtection="1">
      <alignment horizontal="center" vertical="center" wrapText="1"/>
    </xf>
    <xf numFmtId="49" fontId="0" fillId="4" borderId="4" xfId="0" applyNumberFormat="1" applyFont="1" applyFill="1" applyBorder="1" applyAlignment="1" applyProtection="1">
      <alignment horizontal="center" vertical="center" wrapText="1"/>
    </xf>
  </cellXfs>
  <cellStyles count="1">
    <cellStyle name="Normal" xfId="0" builtinId="0"/>
  </cellStyles>
  <dxfs count="253">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left style="dashDotDot">
          <color theme="0" tint="-0.34998626667073579"/>
        </left>
        <right style="thin">
          <color theme="1"/>
        </right>
        <top style="dashDotDot">
          <color theme="0" tint="-0.34998626667073579"/>
        </top>
        <bottom/>
      </border>
      <protection locked="1" hidden="0"/>
    </dxf>
    <dxf>
      <font>
        <b val="0"/>
        <i val="0"/>
        <strike val="0"/>
        <condense val="0"/>
        <extend val="0"/>
        <outline val="0"/>
        <shadow val="0"/>
        <u val="none"/>
        <vertAlign val="baseline"/>
        <sz val="8"/>
        <color theme="0"/>
        <name val="Calibri"/>
        <family val="2"/>
        <scheme val="minor"/>
      </font>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thin">
          <color theme="0" tint="-0.34998626667073579"/>
        </left>
        <right style="thin">
          <color theme="0" tint="-0.34998626667073579"/>
        </right>
        <top style="thin">
          <color indexed="64"/>
        </top>
        <bottom style="thin">
          <color indexed="64"/>
        </bottom>
      </border>
      <protection locked="0" hidden="0"/>
    </dxf>
    <dxf>
      <font>
        <b val="0"/>
        <i val="0"/>
        <strike val="0"/>
        <condense val="0"/>
        <extend val="0"/>
        <outline val="0"/>
        <shadow val="0"/>
        <u val="none"/>
        <vertAlign val="baseline"/>
        <sz val="8"/>
        <color theme="0"/>
        <name val="Calibri"/>
        <family val="2"/>
        <scheme val="minor"/>
      </font>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thin">
          <color theme="0" tint="-0.34998626667073579"/>
        </left>
        <right style="thin">
          <color theme="0" tint="-0.34998626667073579"/>
        </right>
        <top style="thin">
          <color indexed="64"/>
        </top>
        <bottom style="thin">
          <color indexed="64"/>
        </bottom>
      </border>
      <protection locked="0" hidden="0"/>
    </dxf>
    <dxf>
      <font>
        <b val="0"/>
        <i val="0"/>
        <strike val="0"/>
        <condense val="0"/>
        <extend val="0"/>
        <outline val="0"/>
        <shadow val="0"/>
        <u val="none"/>
        <vertAlign val="baseline"/>
        <sz val="8"/>
        <color theme="0"/>
        <name val="Calibri"/>
        <family val="2"/>
        <scheme val="minor"/>
      </font>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thin">
          <color theme="0" tint="-0.34998626667073579"/>
        </left>
        <right style="thin">
          <color theme="0" tint="-0.34998626667073579"/>
        </right>
        <top style="thin">
          <color indexed="64"/>
        </top>
        <bottom style="thin">
          <color indexed="64"/>
        </bottom>
      </border>
      <protection locked="0" hidden="0"/>
    </dxf>
    <dxf>
      <font>
        <b val="0"/>
        <i val="0"/>
        <strike val="0"/>
        <condense val="0"/>
        <extend val="0"/>
        <outline val="0"/>
        <shadow val="0"/>
        <u val="none"/>
        <vertAlign val="baseline"/>
        <sz val="8"/>
        <color theme="0"/>
        <name val="Calibri"/>
        <family val="2"/>
        <scheme val="minor"/>
      </font>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fill>
        <patternFill patternType="solid">
          <fgColor indexed="64"/>
          <bgColor theme="2" tint="-0.749992370372631"/>
        </patternFill>
      </fill>
      <alignment horizontal="left" vertical="top" textRotation="0" wrapText="1" indent="0" justifyLastLine="0" shrinkToFit="0" readingOrder="0"/>
      <border diagonalUp="0" diagonalDown="0" outline="0">
        <left style="thin">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10"/>
        <color theme="0"/>
        <name val="Calibri"/>
        <family val="2"/>
        <scheme val="minor"/>
      </font>
      <numFmt numFmtId="30" formatCode="@"/>
      <fill>
        <patternFill patternType="solid">
          <fgColor indexed="64"/>
          <bgColor theme="2" tint="-0.749992370372631"/>
        </patternFill>
      </fill>
      <alignment horizontal="center" vertical="center" textRotation="0" wrapText="1" indent="0" justifyLastLine="0" shrinkToFit="0" readingOrder="0"/>
      <border diagonalUp="0" diagonalDown="0">
        <left style="thin">
          <color theme="0" tint="-0.34998626667073579"/>
        </left>
        <right style="thin">
          <color theme="0" tint="-0.34998626667073579"/>
        </right>
        <top style="thin">
          <color indexed="64"/>
        </top>
        <bottom style="thin">
          <color indexed="64"/>
        </bottom>
      </border>
      <protection locked="0" hidden="0"/>
    </dxf>
    <dxf>
      <font>
        <b val="0"/>
        <i val="0"/>
        <strike val="0"/>
        <condense val="0"/>
        <extend val="0"/>
        <outline val="0"/>
        <shadow val="0"/>
        <u val="none"/>
        <vertAlign val="baseline"/>
        <sz val="8"/>
        <color theme="0"/>
        <name val="Calibri"/>
        <family val="2"/>
        <scheme val="minor"/>
      </font>
      <numFmt numFmtId="30" formatCode="@"/>
      <fill>
        <patternFill patternType="solid">
          <fgColor indexed="64"/>
          <bgColor theme="2" tint="-0.749992370372631"/>
        </patternFill>
      </fill>
      <alignment horizontal="left" vertical="top" textRotation="0" wrapText="1" indent="0" justifyLastLine="0" shrinkToFit="0" readingOrder="0"/>
      <border diagonalUp="0" diagonalDown="0">
        <left style="thin">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10"/>
        <color theme="0"/>
        <name val="Calibri"/>
        <family val="2"/>
        <scheme val="minor"/>
      </font>
      <numFmt numFmtId="30" formatCode="@"/>
      <fill>
        <patternFill patternType="solid">
          <fgColor indexed="64"/>
          <bgColor theme="2" tint="-0.749992370372631"/>
        </patternFill>
      </fill>
      <alignment horizontal="center" vertical="center" textRotation="0" wrapText="1" indent="0" justifyLastLine="0" shrinkToFit="0" readingOrder="0"/>
      <border diagonalUp="0" diagonalDown="0">
        <left style="dashDotDot">
          <color theme="0" tint="-0.34998626667073579"/>
        </left>
        <right style="thin">
          <color theme="0" tint="-0.34998626667073579"/>
        </right>
        <top style="thin">
          <color indexed="64"/>
        </top>
        <bottom style="thin">
          <color indexed="64"/>
        </bottom>
      </border>
      <protection locked="0"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thin">
          <color theme="0" tint="-0.34998626667073579"/>
        </left>
        <right style="thin">
          <color theme="0" tint="-0.34998626667073579"/>
        </right>
        <top style="thin">
          <color indexed="64"/>
        </top>
        <bottom style="thin">
          <color indexed="64"/>
        </bottom>
      </border>
      <protection locked="0"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thin">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10"/>
        <color theme="0"/>
        <name val="Calibri"/>
        <family val="2"/>
        <scheme val="minor"/>
      </font>
      <fill>
        <patternFill patternType="solid">
          <fgColor indexed="64"/>
          <bgColor theme="2" tint="-0.749992370372631"/>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indexed="64"/>
        </top>
        <bottom style="thin">
          <color indexed="64"/>
        </bottom>
      </border>
      <protection locked="0" hidden="0"/>
    </dxf>
    <dxf>
      <font>
        <b val="0"/>
        <i val="0"/>
        <strike val="0"/>
        <condense val="0"/>
        <extend val="0"/>
        <outline val="0"/>
        <shadow val="0"/>
        <u val="none"/>
        <vertAlign val="baseline"/>
        <sz val="10"/>
        <color theme="0"/>
        <name val="Calibri"/>
        <family val="2"/>
        <scheme val="minor"/>
      </font>
      <numFmt numFmtId="0" formatCode="General"/>
      <fill>
        <patternFill patternType="solid">
          <fgColor indexed="64"/>
          <bgColor theme="2" tint="-0.749992370372631"/>
        </patternFill>
      </fill>
      <alignment horizontal="center" vertical="center" textRotation="0" wrapText="1" indent="0" justifyLastLine="0" shrinkToFit="0" readingOrder="0"/>
      <border diagonalUp="0" diagonalDown="0" outline="0">
        <left style="dashDotDot">
          <color theme="0" tint="-0.34998626667073579"/>
        </left>
        <right style="thin">
          <color theme="0" tint="-0.34998626667073579"/>
        </right>
        <top style="thin">
          <color indexed="64"/>
        </top>
        <bottom style="thin">
          <color indexed="64"/>
        </bottom>
      </border>
      <protection locked="0"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11"/>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thin">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10"/>
        <color auto="1"/>
        <name val="Calibri"/>
        <family val="2"/>
        <scheme val="minor"/>
      </font>
      <numFmt numFmtId="30" formatCode="@"/>
      <fill>
        <patternFill patternType="solid">
          <fgColor indexed="64"/>
          <bgColor theme="2" tint="-0.749992370372631"/>
        </patternFill>
      </fill>
      <alignment horizontal="center" vertical="center" textRotation="0" wrapText="1" indent="0" justifyLastLine="0" shrinkToFit="0" readingOrder="0"/>
      <border diagonalUp="0" diagonalDown="0">
        <left style="thin">
          <color theme="0" tint="-0.34998626667073579"/>
        </left>
        <right style="thin">
          <color theme="0" tint="-0.34998626667073579"/>
        </right>
        <top style="thin">
          <color indexed="64"/>
        </top>
        <bottom style="thin">
          <color indexed="64"/>
        </bottom>
      </border>
      <protection locked="0"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thin">
          <color theme="0" tint="-0.34998626667073579"/>
        </left>
        <right style="thin">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10"/>
        <color theme="0"/>
        <name val="Calibri"/>
        <family val="2"/>
        <scheme val="minor"/>
      </font>
      <numFmt numFmtId="30" formatCode="@"/>
      <fill>
        <patternFill patternType="solid">
          <fgColor indexed="64"/>
          <bgColor theme="2" tint="-0.749992370372631"/>
        </patternFill>
      </fill>
      <alignment horizontal="center" vertical="center" textRotation="0" wrapText="1" indent="0" justifyLastLine="0" shrinkToFit="0" readingOrder="0"/>
      <border diagonalUp="0" diagonalDown="0">
        <left style="thin">
          <color theme="0" tint="-0.34998626667073579"/>
        </left>
        <right style="thin">
          <color theme="0" tint="-0.34998626667073579"/>
        </right>
        <top style="thin">
          <color indexed="64"/>
        </top>
        <bottom style="thin">
          <color indexed="64"/>
        </bottom>
        <vertical/>
        <horizontal/>
      </border>
      <protection locked="0"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thin">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10"/>
        <color theme="0"/>
        <name val="Calibri"/>
        <family val="2"/>
        <scheme val="minor"/>
      </font>
      <numFmt numFmtId="0" formatCode="General"/>
      <fill>
        <patternFill patternType="solid">
          <fgColor indexed="64"/>
          <bgColor theme="2" tint="-0.749992370372631"/>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indexed="64"/>
        </top>
        <bottom style="thin">
          <color indexed="64"/>
        </bottom>
      </border>
      <protection locked="0"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0"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thin">
          <color theme="0" tint="-0.34998626667073579"/>
        </left>
        <right style="dashDotDot">
          <color theme="0" tint="-0.34998626667073579"/>
        </right>
        <top style="dashDotDot">
          <color theme="0" tint="-0.34998626667073579"/>
        </top>
        <bottom style="dashDotDot">
          <color theme="0" tint="-0.34998626667073579"/>
        </bottom>
      </border>
      <protection locked="0" hidden="0"/>
    </dxf>
    <dxf>
      <font>
        <b val="0"/>
        <i val="0"/>
        <strike val="0"/>
        <condense val="0"/>
        <extend val="0"/>
        <outline val="0"/>
        <shadow val="0"/>
        <u val="none"/>
        <vertAlign val="baseline"/>
        <sz val="10"/>
        <color theme="0"/>
        <name val="Calibri"/>
        <family val="2"/>
        <scheme val="minor"/>
      </font>
      <numFmt numFmtId="0" formatCode="General"/>
      <fill>
        <patternFill patternType="solid">
          <fgColor indexed="64"/>
          <bgColor theme="2" tint="-0.749992370372631"/>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indexed="64"/>
        </top>
        <bottom style="thin">
          <color indexed="64"/>
        </bottom>
      </border>
      <protection locked="0"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0"/>
        <color theme="0"/>
        <name val="Calibri"/>
        <family val="2"/>
        <scheme val="minor"/>
      </font>
      <numFmt numFmtId="0" formatCode="General"/>
      <fill>
        <patternFill patternType="solid">
          <fgColor indexed="64"/>
          <bgColor theme="2" tint="-0.749992370372631"/>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indexed="64"/>
        </top>
        <bottom style="thin">
          <color indexed="64"/>
        </bottom>
      </border>
      <protection locked="0"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dashDotDot">
          <color theme="0" tint="-0.34998626667073579"/>
        </left>
        <right style="dashDotDot">
          <color theme="0" tint="-0.34998626667073579"/>
        </right>
        <top style="dashDotDot">
          <color theme="0" tint="-0.34998626667073579"/>
        </top>
        <bottom style="dashDotDot">
          <color theme="0" tint="-0.34998626667073579"/>
        </bottom>
      </border>
      <protection locked="1" hidden="0"/>
    </dxf>
    <dxf>
      <font>
        <b val="0"/>
        <i val="0"/>
        <strike val="0"/>
        <condense val="0"/>
        <extend val="0"/>
        <outline val="0"/>
        <shadow val="0"/>
        <u val="none"/>
        <vertAlign val="baseline"/>
        <sz val="8"/>
        <color theme="0"/>
        <name val="Calibri"/>
        <family val="2"/>
        <scheme val="minor"/>
      </font>
      <numFmt numFmtId="0" formatCode="General"/>
      <fill>
        <patternFill patternType="solid">
          <fgColor indexed="64"/>
          <bgColor theme="2" tint="-0.749992370372631"/>
        </patternFill>
      </fill>
      <alignment horizontal="left" vertical="top" textRotation="0" wrapText="1" indent="0" justifyLastLine="0" shrinkToFit="0" readingOrder="0"/>
      <border diagonalUp="0" diagonalDown="0" outline="0">
        <left style="thin">
          <color indexed="64"/>
        </left>
        <right style="dashDotDot">
          <color theme="0" tint="-0.34998626667073579"/>
        </right>
        <top style="dashDotDot">
          <color theme="0" tint="-0.34998626667073579"/>
        </top>
        <bottom style="dashDotDot">
          <color theme="0" tint="-0.34998626667073579"/>
        </bottom>
      </border>
      <protection locked="1" hidden="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rgb="FF63738B"/>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border diagonalUp="0" diagonalDown="0">
        <left style="medium">
          <color rgb="FFA3A3A3"/>
        </left>
        <right/>
        <top style="medium">
          <color rgb="FFA3A3A3"/>
        </top>
        <bottom style="thin">
          <color theme="4" tint="0.39997558519241921"/>
        </bottom>
      </border>
    </dxf>
    <dxf>
      <font>
        <b val="0"/>
        <i val="0"/>
        <strike val="0"/>
        <condense val="0"/>
        <extend val="0"/>
        <outline val="0"/>
        <shadow val="0"/>
        <u val="none"/>
        <vertAlign val="baseline"/>
        <sz val="8"/>
        <color auto="1"/>
        <name val="Calibri"/>
        <family val="2"/>
        <scheme val="minor"/>
      </font>
      <fill>
        <patternFill patternType="solid">
          <fgColor indexed="64"/>
          <bgColor rgb="FFB5C8F0"/>
        </patternFill>
      </fill>
      <alignment horizontal="left" vertical="top" textRotation="0" wrapText="1" indent="0" justifyLastLine="0" shrinkToFit="0" readingOrder="0"/>
      <protection locked="1" hidden="0"/>
    </dxf>
    <dxf>
      <font>
        <b/>
        <i val="0"/>
        <strike val="0"/>
        <condense val="0"/>
        <extend val="0"/>
        <outline val="0"/>
        <shadow val="0"/>
        <u val="none"/>
        <vertAlign val="baseline"/>
        <sz val="11"/>
        <color rgb="FFFFFF00"/>
        <name val="Calibri"/>
        <family val="2"/>
        <scheme val="minor"/>
      </font>
      <fill>
        <patternFill patternType="solid">
          <fgColor indexed="64"/>
          <bgColor rgb="FF4063AD"/>
        </patternFill>
      </fill>
      <alignment horizontal="center" vertical="center" textRotation="0" wrapText="1" indent="0" justifyLastLine="0" shrinkToFit="0" readingOrder="0"/>
      <protection locked="1" hidden="0"/>
    </dxf>
    <dxf>
      <font>
        <color theme="1"/>
      </font>
      <fill>
        <patternFill>
          <bgColor theme="3" tint="0.39994506668294322"/>
        </patternFill>
      </fill>
    </dxf>
    <dxf>
      <font>
        <color theme="1"/>
      </font>
      <fill>
        <patternFill>
          <bgColor theme="5" tint="0.39994506668294322"/>
        </patternFill>
      </fill>
    </dxf>
    <dxf>
      <font>
        <color theme="1"/>
      </font>
      <fill>
        <patternFill>
          <fgColor auto="1"/>
          <bgColor theme="4" tint="0.39994506668294322"/>
        </patternFill>
      </fill>
    </dxf>
    <dxf>
      <font>
        <color auto="1"/>
      </font>
      <fill>
        <patternFill>
          <bgColor theme="0" tint="-0.24994659260841701"/>
        </patternFill>
      </fill>
    </dxf>
    <dxf>
      <font>
        <color auto="1"/>
      </font>
      <fill>
        <patternFill>
          <bgColor theme="0" tint="-0.499984740745262"/>
        </patternFill>
      </fill>
    </dxf>
    <dxf>
      <font>
        <color auto="1"/>
      </font>
      <fill>
        <patternFill>
          <bgColor theme="0" tint="-0.24994659260841701"/>
        </patternFill>
      </fill>
    </dxf>
    <dxf>
      <font>
        <color auto="1"/>
      </font>
      <fill>
        <patternFill>
          <bgColor theme="6" tint="0.39994506668294322"/>
        </patternFill>
      </fill>
    </dxf>
    <dxf>
      <font>
        <color theme="1"/>
      </font>
      <fill>
        <patternFill>
          <bgColor rgb="FF808080"/>
        </patternFill>
      </fill>
      <border>
        <left style="thin">
          <color auto="1"/>
        </left>
        <right style="thin">
          <color auto="1"/>
        </right>
        <top style="thin">
          <color auto="1"/>
        </top>
        <bottom style="thin">
          <color auto="1"/>
        </bottom>
      </border>
    </dxf>
    <dxf>
      <fill>
        <patternFill>
          <bgColor theme="6" tint="0.39994506668294322"/>
        </patternFill>
      </fill>
      <border>
        <left style="thin">
          <color auto="1"/>
        </left>
        <right style="thin">
          <color auto="1"/>
        </right>
        <top style="thin">
          <color auto="1"/>
        </top>
        <bottom style="thin">
          <color auto="1"/>
        </bottom>
      </border>
    </dxf>
    <dxf>
      <font>
        <color auto="1"/>
      </font>
      <fill>
        <patternFill>
          <bgColor rgb="FF63738B"/>
        </patternFill>
      </fill>
      <border>
        <left style="thin">
          <color auto="1"/>
        </left>
        <right style="thin">
          <color auto="1"/>
        </right>
        <top style="thin">
          <color auto="1"/>
        </top>
        <bottom style="thin">
          <color auto="1"/>
        </bottom>
        <vertical/>
        <horizontal/>
      </border>
    </dxf>
    <dxf>
      <font>
        <color auto="1"/>
      </font>
      <fill>
        <patternFill>
          <bgColor theme="4" tint="0.39994506668294322"/>
        </patternFill>
      </fill>
      <border>
        <left style="thin">
          <color auto="1"/>
        </left>
        <right style="thin">
          <color auto="1"/>
        </right>
        <top style="thin">
          <color auto="1"/>
        </top>
        <bottom style="thin">
          <color auto="1"/>
        </bottom>
        <vertical/>
        <horizontal/>
      </border>
    </dxf>
    <dxf>
      <fill>
        <patternFill>
          <bgColor theme="3" tint="0.39994506668294322"/>
        </patternFill>
      </fill>
      <border>
        <left style="thin">
          <color auto="1"/>
        </left>
        <right style="thin">
          <color auto="1"/>
        </right>
        <top style="thin">
          <color auto="1"/>
        </top>
        <bottom style="thin">
          <color auto="1"/>
        </bottom>
      </border>
    </dxf>
    <dxf>
      <font>
        <color auto="1"/>
      </font>
      <fill>
        <patternFill>
          <bgColor rgb="FF63738B"/>
        </patternFill>
      </fill>
      <border>
        <left style="thin">
          <color auto="1"/>
        </left>
        <right style="thin">
          <color auto="1"/>
        </right>
        <top style="thin">
          <color auto="1"/>
        </top>
        <bottom style="thin">
          <color auto="1"/>
        </bottom>
      </border>
    </dxf>
    <dxf>
      <fill>
        <patternFill>
          <bgColor rgb="FF63738B"/>
        </patternFill>
      </fill>
      <border>
        <left style="thin">
          <color auto="1"/>
        </left>
        <right style="thin">
          <color auto="1"/>
        </right>
        <top style="thin">
          <color auto="1"/>
        </top>
        <bottom style="thin">
          <color auto="1"/>
        </bottom>
      </border>
    </dxf>
    <dxf>
      <font>
        <color theme="1"/>
      </font>
      <fill>
        <patternFill>
          <bgColor theme="5" tint="0.39994506668294322"/>
        </patternFill>
      </fill>
      <border>
        <left style="thin">
          <color auto="1"/>
        </left>
        <right style="thin">
          <color auto="1"/>
        </right>
        <top style="thin">
          <color auto="1"/>
        </top>
        <bottom style="thin">
          <color auto="1"/>
        </bottom>
      </border>
    </dxf>
    <dxf>
      <font>
        <color theme="1"/>
      </font>
      <fill>
        <patternFill>
          <bgColor theme="3" tint="0.39994506668294322"/>
        </patternFill>
      </fill>
      <border>
        <left style="thin">
          <color auto="1"/>
        </left>
        <right style="thin">
          <color auto="1"/>
        </right>
        <top style="thin">
          <color auto="1"/>
        </top>
        <bottom style="thin">
          <color auto="1"/>
        </bottom>
      </border>
    </dxf>
    <dxf>
      <font>
        <color theme="1"/>
      </font>
      <fill>
        <patternFill>
          <bgColor theme="4" tint="0.39994506668294322"/>
        </patternFill>
      </fill>
      <border>
        <left style="thin">
          <color auto="1"/>
        </left>
        <right style="thin">
          <color auto="1"/>
        </right>
        <top style="thin">
          <color auto="1"/>
        </top>
        <bottom style="thin">
          <color auto="1"/>
        </bottom>
      </border>
    </dxf>
    <dxf>
      <font>
        <color theme="1"/>
      </font>
      <fill>
        <patternFill>
          <bgColor theme="5" tint="0.39994506668294322"/>
        </patternFill>
      </fill>
      <border>
        <left style="thin">
          <color auto="1"/>
        </left>
        <right style="thin">
          <color auto="1"/>
        </right>
        <top style="thin">
          <color auto="1"/>
        </top>
        <bottom style="thin">
          <color auto="1"/>
        </bottom>
      </border>
    </dxf>
    <dxf>
      <font>
        <color theme="1"/>
      </font>
      <fill>
        <patternFill>
          <bgColor theme="3" tint="0.39994506668294322"/>
        </patternFill>
      </fill>
      <border>
        <left style="thin">
          <color auto="1"/>
        </left>
        <right style="thin">
          <color auto="1"/>
        </right>
        <top style="thin">
          <color auto="1"/>
        </top>
        <bottom style="thin">
          <color auto="1"/>
        </bottom>
      </border>
    </dxf>
    <dxf>
      <font>
        <color auto="1"/>
      </font>
      <fill>
        <patternFill>
          <bgColor theme="4" tint="0.39994506668294322"/>
        </patternFill>
      </fill>
      <border>
        <left style="thin">
          <color theme="1"/>
        </left>
        <right style="thin">
          <color theme="1"/>
        </right>
        <top style="thin">
          <color theme="1"/>
        </top>
        <bottom style="thin">
          <color theme="1"/>
        </bottom>
      </border>
    </dxf>
    <dxf>
      <font>
        <color theme="1"/>
      </font>
      <fill>
        <patternFill>
          <bgColor theme="5" tint="0.39994506668294322"/>
        </patternFill>
      </fill>
      <border>
        <left style="thin">
          <color auto="1"/>
        </left>
        <right style="thin">
          <color auto="1"/>
        </right>
        <top style="thin">
          <color auto="1"/>
        </top>
        <bottom style="thin">
          <color auto="1"/>
        </bottom>
      </border>
    </dxf>
    <dxf>
      <font>
        <color theme="1"/>
      </font>
      <fill>
        <patternFill>
          <bgColor theme="3" tint="0.39994506668294322"/>
        </patternFill>
      </fill>
      <border>
        <left style="thin">
          <color auto="1"/>
        </left>
        <right style="thin">
          <color auto="1"/>
        </right>
        <top style="thin">
          <color auto="1"/>
        </top>
        <bottom style="thin">
          <color auto="1"/>
        </bottom>
      </border>
    </dxf>
    <dxf>
      <font>
        <color theme="1"/>
      </font>
      <fill>
        <patternFill>
          <bgColor theme="4" tint="0.39994506668294322"/>
        </patternFill>
      </fill>
      <border>
        <left style="thin">
          <color auto="1"/>
        </left>
        <right style="thin">
          <color auto="1"/>
        </right>
        <top style="thin">
          <color auto="1"/>
        </top>
        <bottom style="thin">
          <color auto="1"/>
        </bottom>
      </border>
    </dxf>
    <dxf>
      <font>
        <color auto="1"/>
      </font>
      <fill>
        <patternFill>
          <bgColor theme="0" tint="-0.24994659260841701"/>
        </patternFill>
      </fill>
      <border>
        <left style="thin">
          <color auto="1"/>
        </left>
        <right style="thin">
          <color auto="1"/>
        </right>
        <top style="thin">
          <color auto="1"/>
        </top>
        <bottom style="thin">
          <color auto="1"/>
        </bottom>
      </border>
    </dxf>
    <dxf>
      <font>
        <color theme="1"/>
      </font>
      <fill>
        <patternFill>
          <bgColor theme="3" tint="0.39994506668294322"/>
        </patternFill>
      </fill>
    </dxf>
    <dxf>
      <font>
        <color theme="1"/>
      </font>
      <fill>
        <patternFill>
          <bgColor theme="5" tint="0.39994506668294322"/>
        </patternFill>
      </fill>
    </dxf>
    <dxf>
      <font>
        <color theme="1"/>
      </font>
      <fill>
        <patternFill>
          <fgColor auto="1"/>
          <bgColor theme="4" tint="0.39994506668294322"/>
        </patternFill>
      </fill>
    </dxf>
    <dxf>
      <font>
        <color auto="1"/>
      </font>
      <fill>
        <patternFill>
          <bgColor theme="0" tint="-0.24994659260841701"/>
        </patternFill>
      </fill>
    </dxf>
    <dxf>
      <font>
        <color auto="1"/>
      </font>
      <fill>
        <patternFill>
          <bgColor theme="0" tint="-0.499984740745262"/>
        </patternFill>
      </fill>
    </dxf>
    <dxf>
      <font>
        <color auto="1"/>
      </font>
      <fill>
        <patternFill>
          <bgColor theme="0" tint="-0.24994659260841701"/>
        </patternFill>
      </fill>
    </dxf>
    <dxf>
      <font>
        <color auto="1"/>
      </font>
      <fill>
        <patternFill>
          <bgColor theme="6" tint="0.39994506668294322"/>
        </patternFill>
      </fill>
    </dxf>
    <dxf>
      <font>
        <color theme="1"/>
      </font>
      <fill>
        <patternFill>
          <bgColor rgb="FF808080"/>
        </patternFill>
      </fill>
      <border>
        <left style="thin">
          <color auto="1"/>
        </left>
        <right style="thin">
          <color auto="1"/>
        </right>
        <top style="thin">
          <color auto="1"/>
        </top>
        <bottom style="thin">
          <color auto="1"/>
        </bottom>
      </border>
    </dxf>
    <dxf>
      <fill>
        <patternFill>
          <bgColor theme="6" tint="0.39994506668294322"/>
        </patternFill>
      </fill>
      <border>
        <left style="thin">
          <color auto="1"/>
        </left>
        <right style="thin">
          <color auto="1"/>
        </right>
        <top style="thin">
          <color auto="1"/>
        </top>
        <bottom style="thin">
          <color auto="1"/>
        </bottom>
      </border>
    </dxf>
    <dxf>
      <font>
        <color auto="1"/>
      </font>
      <fill>
        <patternFill>
          <bgColor rgb="FF63738B"/>
        </patternFill>
      </fill>
      <border>
        <left style="thin">
          <color auto="1"/>
        </left>
        <right style="thin">
          <color auto="1"/>
        </right>
        <top style="thin">
          <color auto="1"/>
        </top>
        <bottom style="thin">
          <color auto="1"/>
        </bottom>
        <vertical/>
        <horizontal/>
      </border>
    </dxf>
    <dxf>
      <font>
        <color auto="1"/>
      </font>
      <fill>
        <patternFill>
          <bgColor theme="4" tint="0.39994506668294322"/>
        </patternFill>
      </fill>
      <border>
        <left style="thin">
          <color auto="1"/>
        </left>
        <right style="thin">
          <color auto="1"/>
        </right>
        <top style="thin">
          <color auto="1"/>
        </top>
        <bottom style="thin">
          <color auto="1"/>
        </bottom>
        <vertical/>
        <horizontal/>
      </border>
    </dxf>
    <dxf>
      <fill>
        <patternFill>
          <bgColor theme="3" tint="0.39994506668294322"/>
        </patternFill>
      </fill>
      <border>
        <left style="thin">
          <color auto="1"/>
        </left>
        <right style="thin">
          <color auto="1"/>
        </right>
        <top style="thin">
          <color auto="1"/>
        </top>
        <bottom style="thin">
          <color auto="1"/>
        </bottom>
      </border>
    </dxf>
    <dxf>
      <font>
        <color auto="1"/>
      </font>
      <fill>
        <patternFill>
          <bgColor rgb="FF63738B"/>
        </patternFill>
      </fill>
      <border>
        <left style="thin">
          <color auto="1"/>
        </left>
        <right style="thin">
          <color auto="1"/>
        </right>
        <top style="thin">
          <color auto="1"/>
        </top>
        <bottom style="thin">
          <color auto="1"/>
        </bottom>
      </border>
    </dxf>
    <dxf>
      <fill>
        <patternFill>
          <bgColor rgb="FF63738B"/>
        </patternFill>
      </fill>
      <border>
        <left style="thin">
          <color auto="1"/>
        </left>
        <right style="thin">
          <color auto="1"/>
        </right>
        <top style="thin">
          <color auto="1"/>
        </top>
        <bottom style="thin">
          <color auto="1"/>
        </bottom>
      </border>
    </dxf>
    <dxf>
      <font>
        <color theme="1"/>
      </font>
      <fill>
        <patternFill>
          <bgColor theme="5" tint="0.39994506668294322"/>
        </patternFill>
      </fill>
      <border>
        <left style="thin">
          <color auto="1"/>
        </left>
        <right style="thin">
          <color auto="1"/>
        </right>
        <top style="thin">
          <color auto="1"/>
        </top>
        <bottom style="thin">
          <color auto="1"/>
        </bottom>
      </border>
    </dxf>
    <dxf>
      <font>
        <color theme="1"/>
      </font>
      <fill>
        <patternFill>
          <bgColor theme="3" tint="0.39994506668294322"/>
        </patternFill>
      </fill>
      <border>
        <left style="thin">
          <color auto="1"/>
        </left>
        <right style="thin">
          <color auto="1"/>
        </right>
        <top style="thin">
          <color auto="1"/>
        </top>
        <bottom style="thin">
          <color auto="1"/>
        </bottom>
      </border>
    </dxf>
    <dxf>
      <font>
        <color theme="1"/>
      </font>
      <fill>
        <patternFill>
          <bgColor theme="4" tint="0.39994506668294322"/>
        </patternFill>
      </fill>
      <border>
        <left style="thin">
          <color auto="1"/>
        </left>
        <right style="thin">
          <color auto="1"/>
        </right>
        <top style="thin">
          <color auto="1"/>
        </top>
        <bottom style="thin">
          <color auto="1"/>
        </bottom>
      </border>
    </dxf>
    <dxf>
      <font>
        <color theme="1"/>
      </font>
      <fill>
        <patternFill>
          <bgColor theme="5" tint="0.39994506668294322"/>
        </patternFill>
      </fill>
      <border>
        <left style="thin">
          <color auto="1"/>
        </left>
        <right style="thin">
          <color auto="1"/>
        </right>
        <top style="thin">
          <color auto="1"/>
        </top>
        <bottom style="thin">
          <color auto="1"/>
        </bottom>
      </border>
    </dxf>
    <dxf>
      <font>
        <color theme="1"/>
      </font>
      <fill>
        <patternFill>
          <bgColor theme="3" tint="0.39994506668294322"/>
        </patternFill>
      </fill>
      <border>
        <left style="thin">
          <color auto="1"/>
        </left>
        <right style="thin">
          <color auto="1"/>
        </right>
        <top style="thin">
          <color auto="1"/>
        </top>
        <bottom style="thin">
          <color auto="1"/>
        </bottom>
      </border>
    </dxf>
    <dxf>
      <font>
        <color auto="1"/>
      </font>
      <fill>
        <patternFill>
          <bgColor theme="4" tint="0.39994506668294322"/>
        </patternFill>
      </fill>
      <border>
        <left style="thin">
          <color theme="1"/>
        </left>
        <right style="thin">
          <color theme="1"/>
        </right>
        <top style="thin">
          <color theme="1"/>
        </top>
        <bottom style="thin">
          <color theme="1"/>
        </bottom>
      </border>
    </dxf>
    <dxf>
      <font>
        <color theme="1"/>
      </font>
      <fill>
        <patternFill>
          <bgColor theme="5" tint="0.39994506668294322"/>
        </patternFill>
      </fill>
      <border>
        <left style="thin">
          <color auto="1"/>
        </left>
        <right style="thin">
          <color auto="1"/>
        </right>
        <top style="thin">
          <color auto="1"/>
        </top>
        <bottom style="thin">
          <color auto="1"/>
        </bottom>
      </border>
    </dxf>
    <dxf>
      <font>
        <color theme="1"/>
      </font>
      <fill>
        <patternFill>
          <bgColor theme="3" tint="0.39994506668294322"/>
        </patternFill>
      </fill>
      <border>
        <left style="thin">
          <color auto="1"/>
        </left>
        <right style="thin">
          <color auto="1"/>
        </right>
        <top style="thin">
          <color auto="1"/>
        </top>
        <bottom style="thin">
          <color auto="1"/>
        </bottom>
      </border>
    </dxf>
    <dxf>
      <font>
        <color theme="1"/>
      </font>
      <fill>
        <patternFill>
          <bgColor theme="4" tint="0.39994506668294322"/>
        </patternFill>
      </fill>
      <border>
        <left style="thin">
          <color auto="1"/>
        </left>
        <right style="thin">
          <color auto="1"/>
        </right>
        <top style="thin">
          <color auto="1"/>
        </top>
        <bottom style="thin">
          <color auto="1"/>
        </bottom>
      </border>
    </dxf>
    <dxf>
      <font>
        <color auto="1"/>
      </font>
      <fill>
        <patternFill>
          <bgColor theme="0" tint="-0.24994659260841701"/>
        </patternFill>
      </fill>
      <border>
        <left style="thin">
          <color auto="1"/>
        </left>
        <right style="thin">
          <color auto="1"/>
        </right>
        <top style="thin">
          <color auto="1"/>
        </top>
        <bottom style="thin">
          <color auto="1"/>
        </bottom>
      </border>
    </dxf>
    <dxf>
      <font>
        <color theme="1"/>
      </font>
      <fill>
        <patternFill>
          <bgColor rgb="FF808080"/>
        </patternFill>
      </fill>
      <border>
        <left style="thin">
          <color auto="1"/>
        </left>
        <right style="thin">
          <color auto="1"/>
        </right>
        <top style="thin">
          <color auto="1"/>
        </top>
        <bottom style="thin">
          <color auto="1"/>
        </bottom>
      </border>
    </dxf>
    <dxf>
      <fill>
        <patternFill>
          <bgColor theme="6" tint="0.39994506668294322"/>
        </patternFill>
      </fill>
      <border>
        <left style="thin">
          <color auto="1"/>
        </left>
        <right style="thin">
          <color auto="1"/>
        </right>
        <top style="thin">
          <color auto="1"/>
        </top>
        <bottom style="thin">
          <color auto="1"/>
        </bottom>
      </border>
    </dxf>
    <dxf>
      <font>
        <color auto="1"/>
      </font>
      <fill>
        <patternFill>
          <bgColor rgb="FF63738B"/>
        </patternFill>
      </fill>
      <border>
        <left style="thin">
          <color auto="1"/>
        </left>
        <right style="thin">
          <color auto="1"/>
        </right>
        <top style="thin">
          <color auto="1"/>
        </top>
        <bottom style="thin">
          <color auto="1"/>
        </bottom>
        <vertical/>
        <horizontal/>
      </border>
    </dxf>
    <dxf>
      <font>
        <color auto="1"/>
      </font>
      <fill>
        <patternFill>
          <bgColor theme="4" tint="0.39994506668294322"/>
        </patternFill>
      </fill>
      <border>
        <left style="thin">
          <color auto="1"/>
        </left>
        <right style="thin">
          <color auto="1"/>
        </right>
        <top style="thin">
          <color auto="1"/>
        </top>
        <bottom style="thin">
          <color auto="1"/>
        </bottom>
        <vertical/>
        <horizontal/>
      </border>
    </dxf>
    <dxf>
      <font>
        <color theme="1"/>
      </font>
      <fill>
        <patternFill>
          <bgColor theme="3" tint="0.39994506668294322"/>
        </patternFill>
      </fill>
    </dxf>
    <dxf>
      <font>
        <color theme="1"/>
      </font>
      <fill>
        <patternFill>
          <bgColor theme="5" tint="0.39994506668294322"/>
        </patternFill>
      </fill>
    </dxf>
    <dxf>
      <font>
        <color theme="1"/>
      </font>
      <fill>
        <patternFill>
          <fgColor auto="1"/>
          <bgColor theme="4" tint="0.39994506668294322"/>
        </patternFill>
      </fill>
    </dxf>
    <dxf>
      <font>
        <color auto="1"/>
      </font>
      <fill>
        <patternFill>
          <bgColor theme="0" tint="-0.24994659260841701"/>
        </patternFill>
      </fill>
    </dxf>
    <dxf>
      <font>
        <color auto="1"/>
      </font>
      <fill>
        <patternFill>
          <bgColor theme="0" tint="-0.499984740745262"/>
        </patternFill>
      </fill>
    </dxf>
    <dxf>
      <font>
        <color auto="1"/>
      </font>
      <fill>
        <patternFill>
          <bgColor theme="0" tint="-0.24994659260841701"/>
        </patternFill>
      </fill>
    </dxf>
    <dxf>
      <font>
        <color auto="1"/>
      </font>
      <fill>
        <patternFill>
          <bgColor theme="6" tint="0.39994506668294322"/>
        </patternFill>
      </fill>
    </dxf>
    <dxf>
      <fill>
        <patternFill>
          <bgColor theme="3" tint="0.39994506668294322"/>
        </patternFill>
      </fill>
      <border>
        <left style="thin">
          <color auto="1"/>
        </left>
        <right style="thin">
          <color auto="1"/>
        </right>
        <top style="thin">
          <color auto="1"/>
        </top>
        <bottom style="thin">
          <color auto="1"/>
        </bottom>
      </border>
    </dxf>
    <dxf>
      <font>
        <color auto="1"/>
      </font>
      <fill>
        <patternFill>
          <bgColor rgb="FF63738B"/>
        </patternFill>
      </fill>
      <border>
        <left style="thin">
          <color auto="1"/>
        </left>
        <right style="thin">
          <color auto="1"/>
        </right>
        <top style="thin">
          <color auto="1"/>
        </top>
        <bottom style="thin">
          <color auto="1"/>
        </bottom>
      </border>
    </dxf>
    <dxf>
      <fill>
        <patternFill>
          <bgColor rgb="FF63738B"/>
        </patternFill>
      </fill>
      <border>
        <left style="thin">
          <color auto="1"/>
        </left>
        <right style="thin">
          <color auto="1"/>
        </right>
        <top style="thin">
          <color auto="1"/>
        </top>
        <bottom style="thin">
          <color auto="1"/>
        </bottom>
      </border>
    </dxf>
    <dxf>
      <font>
        <color theme="1"/>
      </font>
      <fill>
        <patternFill>
          <bgColor theme="5" tint="0.39994506668294322"/>
        </patternFill>
      </fill>
      <border>
        <left style="thin">
          <color auto="1"/>
        </left>
        <right style="thin">
          <color auto="1"/>
        </right>
        <top style="thin">
          <color auto="1"/>
        </top>
        <bottom style="thin">
          <color auto="1"/>
        </bottom>
      </border>
    </dxf>
    <dxf>
      <font>
        <color theme="1"/>
      </font>
      <fill>
        <patternFill>
          <bgColor theme="3" tint="0.39994506668294322"/>
        </patternFill>
      </fill>
      <border>
        <left style="thin">
          <color auto="1"/>
        </left>
        <right style="thin">
          <color auto="1"/>
        </right>
        <top style="thin">
          <color auto="1"/>
        </top>
        <bottom style="thin">
          <color auto="1"/>
        </bottom>
      </border>
    </dxf>
    <dxf>
      <font>
        <color theme="1"/>
      </font>
      <fill>
        <patternFill>
          <bgColor theme="4" tint="0.39994506668294322"/>
        </patternFill>
      </fill>
      <border>
        <left style="thin">
          <color auto="1"/>
        </left>
        <right style="thin">
          <color auto="1"/>
        </right>
        <top style="thin">
          <color auto="1"/>
        </top>
        <bottom style="thin">
          <color auto="1"/>
        </bottom>
      </border>
    </dxf>
    <dxf>
      <font>
        <color theme="1"/>
      </font>
      <fill>
        <patternFill>
          <bgColor theme="5" tint="0.39994506668294322"/>
        </patternFill>
      </fill>
      <border>
        <left style="thin">
          <color auto="1"/>
        </left>
        <right style="thin">
          <color auto="1"/>
        </right>
        <top style="thin">
          <color auto="1"/>
        </top>
        <bottom style="thin">
          <color auto="1"/>
        </bottom>
      </border>
    </dxf>
    <dxf>
      <font>
        <color theme="1"/>
      </font>
      <fill>
        <patternFill>
          <bgColor theme="3" tint="0.39994506668294322"/>
        </patternFill>
      </fill>
      <border>
        <left style="thin">
          <color auto="1"/>
        </left>
        <right style="thin">
          <color auto="1"/>
        </right>
        <top style="thin">
          <color auto="1"/>
        </top>
        <bottom style="thin">
          <color auto="1"/>
        </bottom>
      </border>
    </dxf>
    <dxf>
      <font>
        <color auto="1"/>
      </font>
      <fill>
        <patternFill>
          <bgColor theme="4" tint="0.39994506668294322"/>
        </patternFill>
      </fill>
      <border>
        <left style="thin">
          <color theme="1"/>
        </left>
        <right style="thin">
          <color theme="1"/>
        </right>
        <top style="thin">
          <color theme="1"/>
        </top>
        <bottom style="thin">
          <color theme="1"/>
        </bottom>
      </border>
    </dxf>
    <dxf>
      <font>
        <color theme="1"/>
      </font>
      <fill>
        <patternFill>
          <bgColor theme="5" tint="0.39994506668294322"/>
        </patternFill>
      </fill>
      <border>
        <left style="thin">
          <color auto="1"/>
        </left>
        <right style="thin">
          <color auto="1"/>
        </right>
        <top style="thin">
          <color auto="1"/>
        </top>
        <bottom style="thin">
          <color auto="1"/>
        </bottom>
      </border>
    </dxf>
    <dxf>
      <font>
        <color theme="1"/>
      </font>
      <fill>
        <patternFill>
          <bgColor theme="3" tint="0.39994506668294322"/>
        </patternFill>
      </fill>
      <border>
        <left style="thin">
          <color auto="1"/>
        </left>
        <right style="thin">
          <color auto="1"/>
        </right>
        <top style="thin">
          <color auto="1"/>
        </top>
        <bottom style="thin">
          <color auto="1"/>
        </bottom>
      </border>
    </dxf>
    <dxf>
      <font>
        <color theme="1"/>
      </font>
      <fill>
        <patternFill>
          <bgColor theme="4" tint="0.39994506668294322"/>
        </patternFill>
      </fill>
      <border>
        <left style="thin">
          <color auto="1"/>
        </left>
        <right style="thin">
          <color auto="1"/>
        </right>
        <top style="thin">
          <color auto="1"/>
        </top>
        <bottom style="thin">
          <color auto="1"/>
        </bottom>
      </border>
    </dxf>
    <dxf>
      <font>
        <color auto="1"/>
      </font>
      <fill>
        <patternFill>
          <bgColor theme="0" tint="-0.24994659260841701"/>
        </patternFill>
      </fill>
      <border>
        <left style="thin">
          <color auto="1"/>
        </left>
        <right style="thin">
          <color auto="1"/>
        </right>
        <top style="thin">
          <color auto="1"/>
        </top>
        <bottom style="thin">
          <color auto="1"/>
        </bottom>
      </border>
    </dxf>
    <dxf>
      <font>
        <color theme="1"/>
      </font>
      <fill>
        <patternFill>
          <bgColor rgb="FF808080"/>
        </patternFill>
      </fill>
      <border>
        <left style="thin">
          <color auto="1"/>
        </left>
        <right style="thin">
          <color auto="1"/>
        </right>
        <top style="thin">
          <color auto="1"/>
        </top>
        <bottom style="thin">
          <color auto="1"/>
        </bottom>
      </border>
    </dxf>
    <dxf>
      <fill>
        <patternFill>
          <bgColor theme="6" tint="0.39994506668294322"/>
        </patternFill>
      </fill>
      <border>
        <left style="thin">
          <color auto="1"/>
        </left>
        <right style="thin">
          <color auto="1"/>
        </right>
        <top style="thin">
          <color auto="1"/>
        </top>
        <bottom style="thin">
          <color auto="1"/>
        </bottom>
      </border>
    </dxf>
    <dxf>
      <font>
        <color auto="1"/>
      </font>
      <fill>
        <patternFill>
          <bgColor rgb="FF63738B"/>
        </patternFill>
      </fill>
      <border>
        <left style="thin">
          <color auto="1"/>
        </left>
        <right style="thin">
          <color auto="1"/>
        </right>
        <top style="thin">
          <color auto="1"/>
        </top>
        <bottom style="thin">
          <color auto="1"/>
        </bottom>
        <vertical/>
        <horizontal/>
      </border>
    </dxf>
    <dxf>
      <font>
        <color auto="1"/>
      </font>
      <fill>
        <patternFill>
          <bgColor theme="4" tint="0.39994506668294322"/>
        </patternFill>
      </fill>
      <border>
        <left style="thin">
          <color auto="1"/>
        </left>
        <right style="thin">
          <color auto="1"/>
        </right>
        <top style="thin">
          <color auto="1"/>
        </top>
        <bottom style="thin">
          <color auto="1"/>
        </bottom>
        <vertical/>
        <horizontal/>
      </border>
    </dxf>
    <dxf>
      <font>
        <color theme="1"/>
      </font>
      <fill>
        <patternFill>
          <bgColor theme="3" tint="0.39994506668294322"/>
        </patternFill>
      </fill>
    </dxf>
    <dxf>
      <font>
        <color theme="1"/>
      </font>
      <fill>
        <patternFill>
          <bgColor theme="5" tint="0.39994506668294322"/>
        </patternFill>
      </fill>
    </dxf>
    <dxf>
      <font>
        <color theme="1"/>
      </font>
      <fill>
        <patternFill>
          <fgColor auto="1"/>
          <bgColor theme="4" tint="0.39994506668294322"/>
        </patternFill>
      </fill>
    </dxf>
    <dxf>
      <font>
        <color auto="1"/>
      </font>
      <fill>
        <patternFill>
          <bgColor theme="0" tint="-0.24994659260841701"/>
        </patternFill>
      </fill>
    </dxf>
    <dxf>
      <font>
        <color auto="1"/>
      </font>
      <fill>
        <patternFill>
          <bgColor theme="0" tint="-0.499984740745262"/>
        </patternFill>
      </fill>
    </dxf>
    <dxf>
      <font>
        <color auto="1"/>
      </font>
      <fill>
        <patternFill>
          <bgColor theme="0" tint="-0.24994659260841701"/>
        </patternFill>
      </fill>
    </dxf>
    <dxf>
      <font>
        <color auto="1"/>
      </font>
      <fill>
        <patternFill>
          <bgColor theme="6" tint="0.39994506668294322"/>
        </patternFill>
      </fill>
    </dxf>
    <dxf>
      <fill>
        <patternFill>
          <bgColor theme="3" tint="0.39994506668294322"/>
        </patternFill>
      </fill>
      <border>
        <left style="thin">
          <color auto="1"/>
        </left>
        <right style="thin">
          <color auto="1"/>
        </right>
        <top style="thin">
          <color auto="1"/>
        </top>
        <bottom style="thin">
          <color auto="1"/>
        </bottom>
      </border>
    </dxf>
    <dxf>
      <font>
        <color auto="1"/>
      </font>
      <fill>
        <patternFill>
          <bgColor rgb="FF63738B"/>
        </patternFill>
      </fill>
      <border>
        <left style="thin">
          <color auto="1"/>
        </left>
        <right style="thin">
          <color auto="1"/>
        </right>
        <top style="thin">
          <color auto="1"/>
        </top>
        <bottom style="thin">
          <color auto="1"/>
        </bottom>
      </border>
    </dxf>
    <dxf>
      <fill>
        <patternFill>
          <bgColor rgb="FF63738B"/>
        </patternFill>
      </fill>
      <border>
        <left style="thin">
          <color auto="1"/>
        </left>
        <right style="thin">
          <color auto="1"/>
        </right>
        <top style="thin">
          <color auto="1"/>
        </top>
        <bottom style="thin">
          <color auto="1"/>
        </bottom>
      </border>
    </dxf>
    <dxf>
      <font>
        <color theme="1"/>
      </font>
      <fill>
        <patternFill>
          <bgColor theme="5" tint="0.39994506668294322"/>
        </patternFill>
      </fill>
      <border>
        <left style="thin">
          <color auto="1"/>
        </left>
        <right style="thin">
          <color auto="1"/>
        </right>
        <top style="thin">
          <color auto="1"/>
        </top>
        <bottom style="thin">
          <color auto="1"/>
        </bottom>
      </border>
    </dxf>
    <dxf>
      <font>
        <color theme="1"/>
      </font>
      <fill>
        <patternFill>
          <bgColor theme="3" tint="0.39994506668294322"/>
        </patternFill>
      </fill>
      <border>
        <left style="thin">
          <color auto="1"/>
        </left>
        <right style="thin">
          <color auto="1"/>
        </right>
        <top style="thin">
          <color auto="1"/>
        </top>
        <bottom style="thin">
          <color auto="1"/>
        </bottom>
      </border>
    </dxf>
    <dxf>
      <font>
        <color theme="1"/>
      </font>
      <fill>
        <patternFill>
          <bgColor theme="4" tint="0.39994506668294322"/>
        </patternFill>
      </fill>
      <border>
        <left style="thin">
          <color auto="1"/>
        </left>
        <right style="thin">
          <color auto="1"/>
        </right>
        <top style="thin">
          <color auto="1"/>
        </top>
        <bottom style="thin">
          <color auto="1"/>
        </bottom>
      </border>
    </dxf>
    <dxf>
      <font>
        <color theme="1"/>
      </font>
      <fill>
        <patternFill>
          <bgColor theme="5" tint="0.39994506668294322"/>
        </patternFill>
      </fill>
      <border>
        <left style="thin">
          <color auto="1"/>
        </left>
        <right style="thin">
          <color auto="1"/>
        </right>
        <top style="thin">
          <color auto="1"/>
        </top>
        <bottom style="thin">
          <color auto="1"/>
        </bottom>
      </border>
    </dxf>
    <dxf>
      <font>
        <color theme="1"/>
      </font>
      <fill>
        <patternFill>
          <bgColor theme="3" tint="0.39994506668294322"/>
        </patternFill>
      </fill>
      <border>
        <left style="thin">
          <color auto="1"/>
        </left>
        <right style="thin">
          <color auto="1"/>
        </right>
        <top style="thin">
          <color auto="1"/>
        </top>
        <bottom style="thin">
          <color auto="1"/>
        </bottom>
      </border>
    </dxf>
    <dxf>
      <font>
        <color auto="1"/>
      </font>
      <fill>
        <patternFill>
          <bgColor theme="4" tint="0.39994506668294322"/>
        </patternFill>
      </fill>
      <border>
        <left style="thin">
          <color theme="1"/>
        </left>
        <right style="thin">
          <color theme="1"/>
        </right>
        <top style="thin">
          <color theme="1"/>
        </top>
        <bottom style="thin">
          <color theme="1"/>
        </bottom>
      </border>
    </dxf>
    <dxf>
      <font>
        <color theme="1"/>
      </font>
      <fill>
        <patternFill>
          <bgColor theme="5" tint="0.39994506668294322"/>
        </patternFill>
      </fill>
      <border>
        <left style="thin">
          <color auto="1"/>
        </left>
        <right style="thin">
          <color auto="1"/>
        </right>
        <top style="thin">
          <color auto="1"/>
        </top>
        <bottom style="thin">
          <color auto="1"/>
        </bottom>
      </border>
    </dxf>
    <dxf>
      <font>
        <color theme="1"/>
      </font>
      <fill>
        <patternFill>
          <bgColor theme="3" tint="0.39994506668294322"/>
        </patternFill>
      </fill>
      <border>
        <left style="thin">
          <color auto="1"/>
        </left>
        <right style="thin">
          <color auto="1"/>
        </right>
        <top style="thin">
          <color auto="1"/>
        </top>
        <bottom style="thin">
          <color auto="1"/>
        </bottom>
      </border>
    </dxf>
    <dxf>
      <font>
        <color theme="1"/>
      </font>
      <fill>
        <patternFill>
          <bgColor theme="4" tint="0.39994506668294322"/>
        </patternFill>
      </fill>
      <border>
        <left style="thin">
          <color auto="1"/>
        </left>
        <right style="thin">
          <color auto="1"/>
        </right>
        <top style="thin">
          <color auto="1"/>
        </top>
        <bottom style="thin">
          <color auto="1"/>
        </bottom>
      </border>
    </dxf>
    <dxf>
      <font>
        <color auto="1"/>
      </font>
      <fill>
        <patternFill>
          <bgColor theme="0" tint="-0.24994659260841701"/>
        </patternFill>
      </fill>
      <border>
        <left style="thin">
          <color auto="1"/>
        </left>
        <right style="thin">
          <color auto="1"/>
        </right>
        <top style="thin">
          <color auto="1"/>
        </top>
        <bottom style="thin">
          <color auto="1"/>
        </bottom>
      </border>
    </dxf>
    <dxf>
      <font>
        <color theme="1"/>
      </font>
      <fill>
        <patternFill>
          <bgColor rgb="FF808080"/>
        </patternFill>
      </fill>
      <border>
        <left style="thin">
          <color auto="1"/>
        </left>
        <right style="thin">
          <color auto="1"/>
        </right>
        <top style="thin">
          <color auto="1"/>
        </top>
        <bottom style="thin">
          <color auto="1"/>
        </bottom>
      </border>
    </dxf>
    <dxf>
      <fill>
        <patternFill>
          <bgColor theme="6" tint="0.39994506668294322"/>
        </patternFill>
      </fill>
      <border>
        <left style="thin">
          <color auto="1"/>
        </left>
        <right style="thin">
          <color auto="1"/>
        </right>
        <top style="thin">
          <color auto="1"/>
        </top>
        <bottom style="thin">
          <color auto="1"/>
        </bottom>
      </border>
    </dxf>
    <dxf>
      <font>
        <color auto="1"/>
      </font>
      <fill>
        <patternFill>
          <bgColor rgb="FF63738B"/>
        </patternFill>
      </fill>
      <border>
        <left style="thin">
          <color auto="1"/>
        </left>
        <right style="thin">
          <color auto="1"/>
        </right>
        <top style="thin">
          <color auto="1"/>
        </top>
        <bottom style="thin">
          <color auto="1"/>
        </bottom>
        <vertical/>
        <horizontal/>
      </border>
    </dxf>
    <dxf>
      <font>
        <color auto="1"/>
      </font>
      <fill>
        <patternFill>
          <bgColor theme="4" tint="0.39994506668294322"/>
        </patternFill>
      </fill>
      <border>
        <left style="thin">
          <color auto="1"/>
        </left>
        <right style="thin">
          <color auto="1"/>
        </right>
        <top style="thin">
          <color auto="1"/>
        </top>
        <bottom style="thin">
          <color auto="1"/>
        </bottom>
        <vertical/>
        <horizontal/>
      </border>
    </dxf>
    <dxf>
      <font>
        <color theme="1"/>
      </font>
      <fill>
        <patternFill>
          <bgColor theme="3" tint="0.39994506668294322"/>
        </patternFill>
      </fill>
    </dxf>
    <dxf>
      <font>
        <color theme="1"/>
      </font>
      <fill>
        <patternFill>
          <bgColor theme="5" tint="0.39994506668294322"/>
        </patternFill>
      </fill>
    </dxf>
    <dxf>
      <font>
        <color theme="1"/>
      </font>
      <fill>
        <patternFill>
          <fgColor auto="1"/>
          <bgColor theme="4" tint="0.39994506668294322"/>
        </patternFill>
      </fill>
    </dxf>
    <dxf>
      <font>
        <color auto="1"/>
      </font>
      <fill>
        <patternFill>
          <bgColor theme="0" tint="-0.24994659260841701"/>
        </patternFill>
      </fill>
    </dxf>
    <dxf>
      <font>
        <color auto="1"/>
      </font>
      <fill>
        <patternFill>
          <bgColor theme="0" tint="-0.499984740745262"/>
        </patternFill>
      </fill>
    </dxf>
    <dxf>
      <font>
        <color auto="1"/>
      </font>
      <fill>
        <patternFill>
          <bgColor theme="0" tint="-0.24994659260841701"/>
        </patternFill>
      </fill>
    </dxf>
    <dxf>
      <font>
        <color auto="1"/>
      </font>
      <fill>
        <patternFill>
          <bgColor theme="6" tint="0.39994506668294322"/>
        </patternFill>
      </fill>
    </dxf>
    <dxf>
      <fill>
        <patternFill>
          <bgColor theme="3" tint="0.39994506668294322"/>
        </patternFill>
      </fill>
      <border>
        <left style="thin">
          <color auto="1"/>
        </left>
        <right style="thin">
          <color auto="1"/>
        </right>
        <top style="thin">
          <color auto="1"/>
        </top>
        <bottom style="thin">
          <color auto="1"/>
        </bottom>
      </border>
    </dxf>
    <dxf>
      <font>
        <color auto="1"/>
      </font>
      <fill>
        <patternFill>
          <bgColor rgb="FF63738B"/>
        </patternFill>
      </fill>
      <border>
        <left style="thin">
          <color auto="1"/>
        </left>
        <right style="thin">
          <color auto="1"/>
        </right>
        <top style="thin">
          <color auto="1"/>
        </top>
        <bottom style="thin">
          <color auto="1"/>
        </bottom>
      </border>
    </dxf>
    <dxf>
      <fill>
        <patternFill>
          <bgColor rgb="FF63738B"/>
        </patternFill>
      </fill>
      <border>
        <left style="thin">
          <color auto="1"/>
        </left>
        <right style="thin">
          <color auto="1"/>
        </right>
        <top style="thin">
          <color auto="1"/>
        </top>
        <bottom style="thin">
          <color auto="1"/>
        </bottom>
      </border>
    </dxf>
    <dxf>
      <font>
        <color theme="1"/>
      </font>
      <fill>
        <patternFill>
          <bgColor theme="5" tint="0.39994506668294322"/>
        </patternFill>
      </fill>
      <border>
        <left style="thin">
          <color auto="1"/>
        </left>
        <right style="thin">
          <color auto="1"/>
        </right>
        <top style="thin">
          <color auto="1"/>
        </top>
        <bottom style="thin">
          <color auto="1"/>
        </bottom>
      </border>
    </dxf>
    <dxf>
      <font>
        <color theme="1"/>
      </font>
      <fill>
        <patternFill>
          <bgColor theme="3" tint="0.39994506668294322"/>
        </patternFill>
      </fill>
      <border>
        <left style="thin">
          <color auto="1"/>
        </left>
        <right style="thin">
          <color auto="1"/>
        </right>
        <top style="thin">
          <color auto="1"/>
        </top>
        <bottom style="thin">
          <color auto="1"/>
        </bottom>
      </border>
    </dxf>
    <dxf>
      <font>
        <color theme="1"/>
      </font>
      <fill>
        <patternFill>
          <bgColor theme="4" tint="0.39994506668294322"/>
        </patternFill>
      </fill>
      <border>
        <left style="thin">
          <color auto="1"/>
        </left>
        <right style="thin">
          <color auto="1"/>
        </right>
        <top style="thin">
          <color auto="1"/>
        </top>
        <bottom style="thin">
          <color auto="1"/>
        </bottom>
      </border>
    </dxf>
    <dxf>
      <font>
        <color theme="1"/>
      </font>
      <fill>
        <patternFill>
          <bgColor theme="5" tint="0.39994506668294322"/>
        </patternFill>
      </fill>
      <border>
        <left style="thin">
          <color auto="1"/>
        </left>
        <right style="thin">
          <color auto="1"/>
        </right>
        <top style="thin">
          <color auto="1"/>
        </top>
        <bottom style="thin">
          <color auto="1"/>
        </bottom>
      </border>
    </dxf>
    <dxf>
      <font>
        <color theme="1"/>
      </font>
      <fill>
        <patternFill>
          <bgColor theme="3" tint="0.39994506668294322"/>
        </patternFill>
      </fill>
      <border>
        <left style="thin">
          <color auto="1"/>
        </left>
        <right style="thin">
          <color auto="1"/>
        </right>
        <top style="thin">
          <color auto="1"/>
        </top>
        <bottom style="thin">
          <color auto="1"/>
        </bottom>
      </border>
    </dxf>
    <dxf>
      <font>
        <color auto="1"/>
      </font>
      <fill>
        <patternFill>
          <bgColor theme="4" tint="0.39994506668294322"/>
        </patternFill>
      </fill>
      <border>
        <left style="thin">
          <color theme="1"/>
        </left>
        <right style="thin">
          <color theme="1"/>
        </right>
        <top style="thin">
          <color theme="1"/>
        </top>
        <bottom style="thin">
          <color theme="1"/>
        </bottom>
      </border>
    </dxf>
    <dxf>
      <font>
        <color theme="1"/>
      </font>
      <fill>
        <patternFill>
          <bgColor theme="5" tint="0.39994506668294322"/>
        </patternFill>
      </fill>
      <border>
        <left style="thin">
          <color auto="1"/>
        </left>
        <right style="thin">
          <color auto="1"/>
        </right>
        <top style="thin">
          <color auto="1"/>
        </top>
        <bottom style="thin">
          <color auto="1"/>
        </bottom>
      </border>
    </dxf>
    <dxf>
      <font>
        <color theme="1"/>
      </font>
      <fill>
        <patternFill>
          <bgColor theme="3" tint="0.39994506668294322"/>
        </patternFill>
      </fill>
      <border>
        <left style="thin">
          <color auto="1"/>
        </left>
        <right style="thin">
          <color auto="1"/>
        </right>
        <top style="thin">
          <color auto="1"/>
        </top>
        <bottom style="thin">
          <color auto="1"/>
        </bottom>
      </border>
    </dxf>
    <dxf>
      <font>
        <color theme="1"/>
      </font>
      <fill>
        <patternFill>
          <bgColor theme="4" tint="0.39994506668294322"/>
        </patternFill>
      </fill>
      <border>
        <left style="thin">
          <color auto="1"/>
        </left>
        <right style="thin">
          <color auto="1"/>
        </right>
        <top style="thin">
          <color auto="1"/>
        </top>
        <bottom style="thin">
          <color auto="1"/>
        </bottom>
      </border>
    </dxf>
    <dxf>
      <font>
        <color auto="1"/>
      </font>
      <fill>
        <patternFill>
          <bgColor theme="0" tint="-0.24994659260841701"/>
        </patternFill>
      </fill>
      <border>
        <left style="thin">
          <color auto="1"/>
        </left>
        <right style="thin">
          <color auto="1"/>
        </right>
        <top style="thin">
          <color auto="1"/>
        </top>
        <bottom style="thin">
          <color auto="1"/>
        </bottom>
      </border>
    </dxf>
    <dxf>
      <font>
        <color theme="1"/>
      </font>
      <fill>
        <patternFill>
          <bgColor rgb="FF808080"/>
        </patternFill>
      </fill>
      <border>
        <left style="thin">
          <color auto="1"/>
        </left>
        <right style="thin">
          <color auto="1"/>
        </right>
        <top style="thin">
          <color auto="1"/>
        </top>
        <bottom style="thin">
          <color auto="1"/>
        </bottom>
      </border>
    </dxf>
    <dxf>
      <fill>
        <patternFill>
          <bgColor theme="6" tint="0.39994506668294322"/>
        </patternFill>
      </fill>
      <border>
        <left style="thin">
          <color auto="1"/>
        </left>
        <right style="thin">
          <color auto="1"/>
        </right>
        <top style="thin">
          <color auto="1"/>
        </top>
        <bottom style="thin">
          <color auto="1"/>
        </bottom>
      </border>
    </dxf>
    <dxf>
      <font>
        <color auto="1"/>
      </font>
      <fill>
        <patternFill>
          <bgColor rgb="FF63738B"/>
        </patternFill>
      </fill>
      <border>
        <left style="thin">
          <color auto="1"/>
        </left>
        <right style="thin">
          <color auto="1"/>
        </right>
        <top style="thin">
          <color auto="1"/>
        </top>
        <bottom style="thin">
          <color auto="1"/>
        </bottom>
        <vertical/>
        <horizontal/>
      </border>
    </dxf>
    <dxf>
      <font>
        <color auto="1"/>
      </font>
      <fill>
        <patternFill>
          <bgColor theme="4" tint="0.39994506668294322"/>
        </patternFill>
      </fill>
      <border>
        <left style="thin">
          <color auto="1"/>
        </left>
        <right style="thin">
          <color auto="1"/>
        </right>
        <top style="thin">
          <color auto="1"/>
        </top>
        <bottom style="thin">
          <color auto="1"/>
        </bottom>
        <vertical/>
        <horizontal/>
      </border>
    </dxf>
    <dxf>
      <font>
        <color theme="1"/>
      </font>
      <fill>
        <patternFill>
          <bgColor theme="3" tint="0.39994506668294322"/>
        </patternFill>
      </fill>
    </dxf>
    <dxf>
      <font>
        <color theme="1"/>
      </font>
      <fill>
        <patternFill>
          <bgColor theme="5" tint="0.39994506668294322"/>
        </patternFill>
      </fill>
    </dxf>
    <dxf>
      <font>
        <color theme="1"/>
      </font>
      <fill>
        <patternFill>
          <fgColor auto="1"/>
          <bgColor theme="4" tint="0.39994506668294322"/>
        </patternFill>
      </fill>
    </dxf>
    <dxf>
      <font>
        <color auto="1"/>
      </font>
      <fill>
        <patternFill>
          <bgColor theme="0" tint="-0.24994659260841701"/>
        </patternFill>
      </fill>
    </dxf>
    <dxf>
      <font>
        <color auto="1"/>
      </font>
      <fill>
        <patternFill>
          <bgColor theme="0" tint="-0.499984740745262"/>
        </patternFill>
      </fill>
    </dxf>
    <dxf>
      <font>
        <color auto="1"/>
      </font>
      <fill>
        <patternFill>
          <bgColor theme="0" tint="-0.24994659260841701"/>
        </patternFill>
      </fill>
    </dxf>
    <dxf>
      <font>
        <color auto="1"/>
      </font>
      <fill>
        <patternFill>
          <bgColor theme="6" tint="0.39994506668294322"/>
        </patternFill>
      </fill>
    </dxf>
    <dxf>
      <fill>
        <patternFill>
          <bgColor theme="3" tint="0.39994506668294322"/>
        </patternFill>
      </fill>
      <border>
        <left style="thin">
          <color auto="1"/>
        </left>
        <right style="thin">
          <color auto="1"/>
        </right>
        <top style="thin">
          <color auto="1"/>
        </top>
        <bottom style="thin">
          <color auto="1"/>
        </bottom>
      </border>
    </dxf>
    <dxf>
      <font>
        <color auto="1"/>
      </font>
      <fill>
        <patternFill>
          <bgColor rgb="FF63738B"/>
        </patternFill>
      </fill>
      <border>
        <left style="thin">
          <color auto="1"/>
        </left>
        <right style="thin">
          <color auto="1"/>
        </right>
        <top style="thin">
          <color auto="1"/>
        </top>
        <bottom style="thin">
          <color auto="1"/>
        </bottom>
      </border>
    </dxf>
    <dxf>
      <fill>
        <patternFill>
          <bgColor rgb="FF63738B"/>
        </patternFill>
      </fill>
      <border>
        <left style="thin">
          <color auto="1"/>
        </left>
        <right style="thin">
          <color auto="1"/>
        </right>
        <top style="thin">
          <color auto="1"/>
        </top>
        <bottom style="thin">
          <color auto="1"/>
        </bottom>
      </border>
    </dxf>
    <dxf>
      <font>
        <color theme="1"/>
      </font>
      <fill>
        <patternFill>
          <bgColor theme="5" tint="0.39994506668294322"/>
        </patternFill>
      </fill>
      <border>
        <left style="thin">
          <color auto="1"/>
        </left>
        <right style="thin">
          <color auto="1"/>
        </right>
        <top style="thin">
          <color auto="1"/>
        </top>
        <bottom style="thin">
          <color auto="1"/>
        </bottom>
      </border>
    </dxf>
    <dxf>
      <font>
        <color theme="1"/>
      </font>
      <fill>
        <patternFill>
          <bgColor theme="3" tint="0.39994506668294322"/>
        </patternFill>
      </fill>
      <border>
        <left style="thin">
          <color auto="1"/>
        </left>
        <right style="thin">
          <color auto="1"/>
        </right>
        <top style="thin">
          <color auto="1"/>
        </top>
        <bottom style="thin">
          <color auto="1"/>
        </bottom>
      </border>
    </dxf>
    <dxf>
      <font>
        <color theme="1"/>
      </font>
      <fill>
        <patternFill>
          <bgColor theme="4" tint="0.39994506668294322"/>
        </patternFill>
      </fill>
      <border>
        <left style="thin">
          <color auto="1"/>
        </left>
        <right style="thin">
          <color auto="1"/>
        </right>
        <top style="thin">
          <color auto="1"/>
        </top>
        <bottom style="thin">
          <color auto="1"/>
        </bottom>
      </border>
    </dxf>
    <dxf>
      <font>
        <color theme="1"/>
      </font>
      <fill>
        <patternFill>
          <bgColor theme="5" tint="0.39994506668294322"/>
        </patternFill>
      </fill>
      <border>
        <left style="thin">
          <color auto="1"/>
        </left>
        <right style="thin">
          <color auto="1"/>
        </right>
        <top style="thin">
          <color auto="1"/>
        </top>
        <bottom style="thin">
          <color auto="1"/>
        </bottom>
      </border>
    </dxf>
    <dxf>
      <font>
        <color theme="1"/>
      </font>
      <fill>
        <patternFill>
          <bgColor theme="3" tint="0.39994506668294322"/>
        </patternFill>
      </fill>
      <border>
        <left style="thin">
          <color auto="1"/>
        </left>
        <right style="thin">
          <color auto="1"/>
        </right>
        <top style="thin">
          <color auto="1"/>
        </top>
        <bottom style="thin">
          <color auto="1"/>
        </bottom>
      </border>
    </dxf>
    <dxf>
      <font>
        <color auto="1"/>
      </font>
      <fill>
        <patternFill>
          <bgColor theme="4" tint="0.39994506668294322"/>
        </patternFill>
      </fill>
      <border>
        <left style="thin">
          <color theme="1"/>
        </left>
        <right style="thin">
          <color theme="1"/>
        </right>
        <top style="thin">
          <color theme="1"/>
        </top>
        <bottom style="thin">
          <color theme="1"/>
        </bottom>
      </border>
    </dxf>
    <dxf>
      <font>
        <color theme="1"/>
      </font>
      <fill>
        <patternFill>
          <bgColor theme="5" tint="0.39994506668294322"/>
        </patternFill>
      </fill>
      <border>
        <left style="thin">
          <color auto="1"/>
        </left>
        <right style="thin">
          <color auto="1"/>
        </right>
        <top style="thin">
          <color auto="1"/>
        </top>
        <bottom style="thin">
          <color auto="1"/>
        </bottom>
      </border>
    </dxf>
    <dxf>
      <font>
        <color theme="1"/>
      </font>
      <fill>
        <patternFill>
          <bgColor theme="3" tint="0.39994506668294322"/>
        </patternFill>
      </fill>
      <border>
        <left style="thin">
          <color auto="1"/>
        </left>
        <right style="thin">
          <color auto="1"/>
        </right>
        <top style="thin">
          <color auto="1"/>
        </top>
        <bottom style="thin">
          <color auto="1"/>
        </bottom>
      </border>
    </dxf>
    <dxf>
      <font>
        <color theme="1"/>
      </font>
      <fill>
        <patternFill>
          <bgColor theme="4" tint="0.39994506668294322"/>
        </patternFill>
      </fill>
      <border>
        <left style="thin">
          <color auto="1"/>
        </left>
        <right style="thin">
          <color auto="1"/>
        </right>
        <top style="thin">
          <color auto="1"/>
        </top>
        <bottom style="thin">
          <color auto="1"/>
        </bottom>
      </border>
    </dxf>
    <dxf>
      <font>
        <color auto="1"/>
      </font>
      <fill>
        <patternFill>
          <bgColor theme="0" tint="-0.24994659260841701"/>
        </patternFill>
      </fill>
      <border>
        <left style="thin">
          <color auto="1"/>
        </left>
        <right style="thin">
          <color auto="1"/>
        </right>
        <top style="thin">
          <color auto="1"/>
        </top>
        <bottom style="thin">
          <color auto="1"/>
        </bottom>
      </border>
    </dxf>
    <dxf>
      <font>
        <color theme="1"/>
      </font>
      <fill>
        <patternFill>
          <bgColor theme="3" tint="0.39994506668294322"/>
        </patternFill>
      </fill>
    </dxf>
    <dxf>
      <font>
        <color theme="1"/>
      </font>
      <fill>
        <patternFill>
          <bgColor theme="5" tint="0.39994506668294322"/>
        </patternFill>
      </fill>
    </dxf>
    <dxf>
      <font>
        <color theme="1"/>
      </font>
      <fill>
        <patternFill>
          <fgColor auto="1"/>
          <bgColor theme="4" tint="0.39994506668294322"/>
        </patternFill>
      </fill>
    </dxf>
    <dxf>
      <font>
        <color auto="1"/>
      </font>
      <fill>
        <patternFill>
          <bgColor theme="0" tint="-0.24994659260841701"/>
        </patternFill>
      </fill>
    </dxf>
    <dxf>
      <font>
        <color auto="1"/>
      </font>
      <fill>
        <patternFill>
          <bgColor theme="0" tint="-0.499984740745262"/>
        </patternFill>
      </fill>
    </dxf>
    <dxf>
      <font>
        <color auto="1"/>
      </font>
      <fill>
        <patternFill>
          <bgColor theme="0" tint="-0.24994659260841701"/>
        </patternFill>
      </fill>
    </dxf>
    <dxf>
      <font>
        <color auto="1"/>
      </font>
      <fill>
        <patternFill>
          <bgColor theme="6" tint="0.39994506668294322"/>
        </patternFill>
      </fill>
    </dxf>
    <dxf>
      <font>
        <color theme="1"/>
      </font>
      <fill>
        <patternFill>
          <bgColor rgb="FF808080"/>
        </patternFill>
      </fill>
      <border>
        <left style="thin">
          <color auto="1"/>
        </left>
        <right style="thin">
          <color auto="1"/>
        </right>
        <top style="thin">
          <color auto="1"/>
        </top>
        <bottom style="thin">
          <color auto="1"/>
        </bottom>
      </border>
    </dxf>
    <dxf>
      <fill>
        <patternFill>
          <bgColor theme="6" tint="0.39994506668294322"/>
        </patternFill>
      </fill>
      <border>
        <left style="thin">
          <color auto="1"/>
        </left>
        <right style="thin">
          <color auto="1"/>
        </right>
        <top style="thin">
          <color auto="1"/>
        </top>
        <bottom style="thin">
          <color auto="1"/>
        </bottom>
      </border>
    </dxf>
    <dxf>
      <font>
        <color auto="1"/>
      </font>
      <fill>
        <patternFill>
          <bgColor rgb="FF63738B"/>
        </patternFill>
      </fill>
      <border>
        <left style="thin">
          <color auto="1"/>
        </left>
        <right style="thin">
          <color auto="1"/>
        </right>
        <top style="thin">
          <color auto="1"/>
        </top>
        <bottom style="thin">
          <color auto="1"/>
        </bottom>
        <vertical/>
        <horizontal/>
      </border>
    </dxf>
    <dxf>
      <font>
        <color auto="1"/>
      </font>
      <fill>
        <patternFill>
          <bgColor theme="0" tint="-0.24994659260841701"/>
        </patternFill>
      </fill>
      <border>
        <left style="thin">
          <color auto="1"/>
        </left>
        <right style="thin">
          <color auto="1"/>
        </right>
        <top style="thin">
          <color auto="1"/>
        </top>
        <bottom style="thin">
          <color auto="1"/>
        </bottom>
      </border>
    </dxf>
    <dxf>
      <font>
        <color auto="1"/>
      </font>
      <fill>
        <patternFill>
          <bgColor theme="4" tint="0.39994506668294322"/>
        </patternFill>
      </fill>
      <border>
        <left style="thin">
          <color auto="1"/>
        </left>
        <right style="thin">
          <color auto="1"/>
        </right>
        <top style="thin">
          <color auto="1"/>
        </top>
        <bottom style="thin">
          <color auto="1"/>
        </bottom>
        <vertical/>
        <horizontal/>
      </border>
    </dxf>
    <dxf>
      <font>
        <color auto="1"/>
      </font>
      <fill>
        <patternFill>
          <bgColor theme="4" tint="0.39994506668294322"/>
        </patternFill>
      </fill>
      <border>
        <left style="thin">
          <color auto="1"/>
        </left>
        <right style="thin">
          <color auto="1"/>
        </right>
        <top style="thin">
          <color auto="1"/>
        </top>
        <bottom style="thin">
          <color auto="1"/>
        </bottom>
        <vertical/>
        <horizontal/>
      </border>
    </dxf>
    <dxf>
      <font>
        <color theme="1"/>
      </font>
      <fill>
        <patternFill>
          <bgColor theme="3" tint="0.39994506668294322"/>
        </patternFill>
      </fill>
    </dxf>
    <dxf>
      <font>
        <color theme="1"/>
      </font>
      <fill>
        <patternFill>
          <bgColor theme="5" tint="0.39994506668294322"/>
        </patternFill>
      </fill>
    </dxf>
    <dxf>
      <font>
        <color theme="1"/>
      </font>
      <fill>
        <patternFill>
          <fgColor auto="1"/>
          <bgColor theme="4" tint="0.39994506668294322"/>
        </patternFill>
      </fill>
    </dxf>
    <dxf>
      <font>
        <color auto="1"/>
      </font>
      <fill>
        <patternFill>
          <bgColor theme="0" tint="-0.24994659260841701"/>
        </patternFill>
      </fill>
    </dxf>
    <dxf>
      <font>
        <color auto="1"/>
      </font>
      <fill>
        <patternFill>
          <bgColor theme="0" tint="-0.499984740745262"/>
        </patternFill>
      </fill>
    </dxf>
    <dxf>
      <font>
        <color auto="1"/>
      </font>
      <fill>
        <patternFill>
          <bgColor theme="0" tint="-0.24994659260841701"/>
        </patternFill>
      </fill>
    </dxf>
    <dxf>
      <font>
        <color auto="1"/>
      </font>
      <fill>
        <patternFill>
          <bgColor theme="6" tint="0.39994506668294322"/>
        </patternFill>
      </fill>
    </dxf>
    <dxf>
      <fill>
        <patternFill>
          <bgColor theme="3" tint="0.39994506668294322"/>
        </patternFill>
      </fill>
      <border>
        <left style="thin">
          <color auto="1"/>
        </left>
        <right style="thin">
          <color auto="1"/>
        </right>
        <top style="thin">
          <color auto="1"/>
        </top>
        <bottom style="thin">
          <color auto="1"/>
        </bottom>
      </border>
    </dxf>
    <dxf>
      <font>
        <color auto="1"/>
      </font>
      <fill>
        <patternFill>
          <bgColor rgb="FF63738B"/>
        </patternFill>
      </fill>
      <border>
        <left style="thin">
          <color auto="1"/>
        </left>
        <right style="thin">
          <color auto="1"/>
        </right>
        <top style="thin">
          <color auto="1"/>
        </top>
        <bottom style="thin">
          <color auto="1"/>
        </bottom>
      </border>
    </dxf>
    <dxf>
      <fill>
        <patternFill>
          <bgColor rgb="FF63738B"/>
        </patternFill>
      </fill>
      <border>
        <left style="thin">
          <color auto="1"/>
        </left>
        <right style="thin">
          <color auto="1"/>
        </right>
        <top style="thin">
          <color auto="1"/>
        </top>
        <bottom style="thin">
          <color auto="1"/>
        </bottom>
      </border>
    </dxf>
    <dxf>
      <font>
        <color theme="1"/>
      </font>
      <fill>
        <patternFill>
          <bgColor theme="5" tint="0.39994506668294322"/>
        </patternFill>
      </fill>
      <border>
        <left style="thin">
          <color auto="1"/>
        </left>
        <right style="thin">
          <color auto="1"/>
        </right>
        <top style="thin">
          <color auto="1"/>
        </top>
        <bottom style="thin">
          <color auto="1"/>
        </bottom>
      </border>
    </dxf>
    <dxf>
      <font>
        <color theme="1"/>
      </font>
      <fill>
        <patternFill>
          <bgColor theme="3" tint="0.39994506668294322"/>
        </patternFill>
      </fill>
      <border>
        <left style="thin">
          <color auto="1"/>
        </left>
        <right style="thin">
          <color auto="1"/>
        </right>
        <top style="thin">
          <color auto="1"/>
        </top>
        <bottom style="thin">
          <color auto="1"/>
        </bottom>
      </border>
    </dxf>
    <dxf>
      <font>
        <color theme="1"/>
      </font>
      <fill>
        <patternFill>
          <bgColor theme="4" tint="0.39994506668294322"/>
        </patternFill>
      </fill>
      <border>
        <left style="thin">
          <color auto="1"/>
        </left>
        <right style="thin">
          <color auto="1"/>
        </right>
        <top style="thin">
          <color auto="1"/>
        </top>
        <bottom style="thin">
          <color auto="1"/>
        </bottom>
      </border>
    </dxf>
    <dxf>
      <font>
        <color theme="1"/>
      </font>
      <fill>
        <patternFill>
          <bgColor theme="5" tint="0.39994506668294322"/>
        </patternFill>
      </fill>
      <border>
        <left style="thin">
          <color auto="1"/>
        </left>
        <right style="thin">
          <color auto="1"/>
        </right>
        <top style="thin">
          <color auto="1"/>
        </top>
        <bottom style="thin">
          <color auto="1"/>
        </bottom>
      </border>
    </dxf>
    <dxf>
      <font>
        <color theme="1"/>
      </font>
      <fill>
        <patternFill>
          <bgColor theme="3" tint="0.39994506668294322"/>
        </patternFill>
      </fill>
      <border>
        <left style="thin">
          <color auto="1"/>
        </left>
        <right style="thin">
          <color auto="1"/>
        </right>
        <top style="thin">
          <color auto="1"/>
        </top>
        <bottom style="thin">
          <color auto="1"/>
        </bottom>
      </border>
    </dxf>
    <dxf>
      <font>
        <color auto="1"/>
      </font>
      <fill>
        <patternFill>
          <bgColor theme="4" tint="0.39994506668294322"/>
        </patternFill>
      </fill>
      <border>
        <left style="thin">
          <color theme="1"/>
        </left>
        <right style="thin">
          <color theme="1"/>
        </right>
        <top style="thin">
          <color theme="1"/>
        </top>
        <bottom style="thin">
          <color theme="1"/>
        </bottom>
      </border>
    </dxf>
    <dxf>
      <font>
        <color theme="1"/>
      </font>
      <fill>
        <patternFill>
          <bgColor theme="5" tint="0.39994506668294322"/>
        </patternFill>
      </fill>
      <border>
        <left style="thin">
          <color auto="1"/>
        </left>
        <right style="thin">
          <color auto="1"/>
        </right>
        <top style="thin">
          <color auto="1"/>
        </top>
        <bottom style="thin">
          <color auto="1"/>
        </bottom>
      </border>
    </dxf>
    <dxf>
      <font>
        <color theme="1"/>
      </font>
      <fill>
        <patternFill>
          <bgColor theme="3" tint="0.39994506668294322"/>
        </patternFill>
      </fill>
      <border>
        <left style="thin">
          <color auto="1"/>
        </left>
        <right style="thin">
          <color auto="1"/>
        </right>
        <top style="thin">
          <color auto="1"/>
        </top>
        <bottom style="thin">
          <color auto="1"/>
        </bottom>
      </border>
    </dxf>
    <dxf>
      <font>
        <color theme="1"/>
      </font>
      <fill>
        <patternFill>
          <bgColor theme="4" tint="0.39994506668294322"/>
        </patternFill>
      </fill>
      <border>
        <left style="thin">
          <color auto="1"/>
        </left>
        <right style="thin">
          <color auto="1"/>
        </right>
        <top style="thin">
          <color auto="1"/>
        </top>
        <bottom style="thin">
          <color auto="1"/>
        </bottom>
      </border>
    </dxf>
    <dxf>
      <font>
        <color auto="1"/>
      </font>
      <fill>
        <patternFill>
          <bgColor theme="0" tint="-0.24994659260841701"/>
        </patternFill>
      </fill>
      <border>
        <left style="thin">
          <color auto="1"/>
        </left>
        <right style="thin">
          <color auto="1"/>
        </right>
        <top style="thin">
          <color auto="1"/>
        </top>
        <bottom style="thin">
          <color auto="1"/>
        </bottom>
      </border>
    </dxf>
    <dxf>
      <numFmt numFmtId="0" formatCode="General"/>
      <alignment horizontal="left" vertical="top" textRotation="0" wrapText="0" indent="0" justifyLastLine="0" shrinkToFit="0" readingOrder="0"/>
    </dxf>
    <dxf>
      <numFmt numFmtId="0" formatCode="General"/>
      <alignment horizontal="left" vertical="top" textRotation="0" wrapText="0" indent="0" justifyLastLine="0" shrinkToFit="0" readingOrder="0"/>
    </dxf>
    <dxf>
      <numFmt numFmtId="0" formatCode="General"/>
      <alignment horizontal="general" vertical="bottom" textRotation="0" wrapText="1" indent="0" justifyLastLine="0" shrinkToFit="0" readingOrder="0"/>
    </dxf>
    <dxf>
      <numFmt numFmtId="0" formatCode="General"/>
      <alignment horizontal="left" vertical="top" textRotation="0" wrapText="0" indent="0" justifyLastLine="0" shrinkToFit="0" readingOrder="0"/>
    </dxf>
  </dxfs>
  <tableStyles count="0" defaultTableStyle="TableStyleMedium2" defaultPivotStyle="PivotStyleLight16"/>
  <colors>
    <mruColors>
      <color rgb="FFB482DA"/>
      <color rgb="FF808080"/>
      <color rgb="FF63738B"/>
      <color rgb="FFC7CDD7"/>
      <color rgb="FF3FFF88"/>
      <color rgb="FF78E775"/>
      <color rgb="FF4FB4FF"/>
      <color rgb="FF9954CC"/>
      <color rgb="FFADEDEB"/>
      <color rgb="FF007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196938</xdr:colOff>
      <xdr:row>99</xdr:row>
      <xdr:rowOff>152502</xdr:rowOff>
    </xdr:from>
    <xdr:to>
      <xdr:col>3</xdr:col>
      <xdr:colOff>638734</xdr:colOff>
      <xdr:row>99</xdr:row>
      <xdr:rowOff>601381</xdr:rowOff>
    </xdr:to>
    <xdr:sp macro="[0]!NeedMoreRows" textlink="">
      <xdr:nvSpPr>
        <xdr:cNvPr id="4" name="TextBox 3">
          <a:extLst>
            <a:ext uri="{FF2B5EF4-FFF2-40B4-BE49-F238E27FC236}">
              <a16:creationId xmlns:a16="http://schemas.microsoft.com/office/drawing/2014/main" id="{FFE518D4-BD38-4D10-A7C1-E37A24C43A03}"/>
            </a:ext>
          </a:extLst>
        </xdr:cNvPr>
        <xdr:cNvSpPr txBox="1"/>
      </xdr:nvSpPr>
      <xdr:spPr>
        <a:xfrm>
          <a:off x="196938" y="88191517"/>
          <a:ext cx="1937782" cy="448879"/>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rPr>
            <a:t>Need</a:t>
          </a:r>
          <a:r>
            <a:rPr lang="en-US" sz="1600" baseline="0">
              <a:solidFill>
                <a:schemeClr val="bg1"/>
              </a:solidFill>
            </a:rPr>
            <a:t> more rows?</a:t>
          </a:r>
          <a:endParaRPr lang="en-US" sz="1600">
            <a:solidFill>
              <a:schemeClr val="bg1"/>
            </a:solidFill>
          </a:endParaRPr>
        </a:p>
      </xdr:txBody>
    </xdr:sp>
    <xdr:clientData/>
  </xdr:twoCellAnchor>
  <xdr:twoCellAnchor editAs="absolute">
    <xdr:from>
      <xdr:col>1</xdr:col>
      <xdr:colOff>856617</xdr:colOff>
      <xdr:row>1</xdr:row>
      <xdr:rowOff>162216</xdr:rowOff>
    </xdr:from>
    <xdr:to>
      <xdr:col>2</xdr:col>
      <xdr:colOff>0</xdr:colOff>
      <xdr:row>1</xdr:row>
      <xdr:rowOff>316418</xdr:rowOff>
    </xdr:to>
    <xdr:sp macro="[0]!Lock_UnlockButton" textlink="">
      <xdr:nvSpPr>
        <xdr:cNvPr id="36" name="Oval 35">
          <a:extLst>
            <a:ext uri="{FF2B5EF4-FFF2-40B4-BE49-F238E27FC236}">
              <a16:creationId xmlns:a16="http://schemas.microsoft.com/office/drawing/2014/main" id="{6FA8C12F-2A26-43CC-B189-548722731CD6}"/>
            </a:ext>
          </a:extLst>
        </xdr:cNvPr>
        <xdr:cNvSpPr/>
      </xdr:nvSpPr>
      <xdr:spPr>
        <a:xfrm>
          <a:off x="1059750" y="345738"/>
          <a:ext cx="402542" cy="154202"/>
        </a:xfrm>
        <a:prstGeom prst="ellipse">
          <a:avLst/>
        </a:prstGeom>
        <a:gradFill flip="none" rotWithShape="1">
          <a:gsLst>
            <a:gs pos="0">
              <a:schemeClr val="tx1">
                <a:lumMod val="50000"/>
                <a:lumOff val="50000"/>
                <a:alpha val="90000"/>
              </a:schemeClr>
            </a:gs>
            <a:gs pos="99115">
              <a:schemeClr val="bg1"/>
            </a:gs>
            <a:gs pos="67000">
              <a:schemeClr val="bg1">
                <a:lumMod val="85000"/>
              </a:schemeClr>
            </a:gs>
          </a:gsLst>
          <a:path path="circle">
            <a:fillToRect l="50000" t="50000" r="50000" b="50000"/>
          </a:path>
          <a:tileRect/>
        </a:gradFill>
        <a:ln>
          <a:noFill/>
        </a:ln>
        <a:effectLst>
          <a:softEdge rad="152400"/>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editAs="absolute">
    <xdr:from>
      <xdr:col>1</xdr:col>
      <xdr:colOff>888324</xdr:colOff>
      <xdr:row>0</xdr:row>
      <xdr:rowOff>99907</xdr:rowOff>
    </xdr:from>
    <xdr:to>
      <xdr:col>2</xdr:col>
      <xdr:colOff>0</xdr:colOff>
      <xdr:row>1</xdr:row>
      <xdr:rowOff>255122</xdr:rowOff>
    </xdr:to>
    <xdr:grpSp>
      <xdr:nvGrpSpPr>
        <xdr:cNvPr id="9" name="B_Lock3">
          <a:extLst>
            <a:ext uri="{FF2B5EF4-FFF2-40B4-BE49-F238E27FC236}">
              <a16:creationId xmlns:a16="http://schemas.microsoft.com/office/drawing/2014/main" id="{0F5AC1C2-658C-4CD7-8206-4AB6B51F5FBB}"/>
            </a:ext>
          </a:extLst>
        </xdr:cNvPr>
        <xdr:cNvGrpSpPr/>
      </xdr:nvGrpSpPr>
      <xdr:grpSpPr>
        <a:xfrm>
          <a:off x="1078824" y="99907"/>
          <a:ext cx="311826" cy="345715"/>
          <a:chOff x="1089682" y="103493"/>
          <a:chExt cx="340024" cy="339913"/>
        </a:xfrm>
      </xdr:grpSpPr>
      <xdr:grpSp>
        <xdr:nvGrpSpPr>
          <xdr:cNvPr id="8" name="Group 7">
            <a:extLst>
              <a:ext uri="{FF2B5EF4-FFF2-40B4-BE49-F238E27FC236}">
                <a16:creationId xmlns:a16="http://schemas.microsoft.com/office/drawing/2014/main" id="{B886247E-4D7E-42DB-BDB1-7799D6C1650B}"/>
              </a:ext>
            </a:extLst>
          </xdr:cNvPr>
          <xdr:cNvGrpSpPr/>
        </xdr:nvGrpSpPr>
        <xdr:grpSpPr>
          <a:xfrm>
            <a:off x="1089682" y="103493"/>
            <a:ext cx="340024" cy="339913"/>
            <a:chOff x="1091009" y="103493"/>
            <a:chExt cx="340024" cy="340472"/>
          </a:xfrm>
        </xdr:grpSpPr>
        <xdr:grpSp>
          <xdr:nvGrpSpPr>
            <xdr:cNvPr id="7" name="B_Lock">
              <a:extLst>
                <a:ext uri="{FF2B5EF4-FFF2-40B4-BE49-F238E27FC236}">
                  <a16:creationId xmlns:a16="http://schemas.microsoft.com/office/drawing/2014/main" id="{7BC85335-7048-4A5D-85F8-42946CF9EEB2}"/>
                </a:ext>
              </a:extLst>
            </xdr:cNvPr>
            <xdr:cNvGrpSpPr/>
          </xdr:nvGrpSpPr>
          <xdr:grpSpPr>
            <a:xfrm>
              <a:off x="1091009" y="103493"/>
              <a:ext cx="340024" cy="340472"/>
              <a:chOff x="1091009" y="103493"/>
              <a:chExt cx="340024" cy="340472"/>
            </a:xfrm>
          </xdr:grpSpPr>
          <xdr:sp macro="[0]!Lock_UnlockButton" textlink="">
            <xdr:nvSpPr>
              <xdr:cNvPr id="37" name="Oval 36">
                <a:extLst>
                  <a:ext uri="{FF2B5EF4-FFF2-40B4-BE49-F238E27FC236}">
                    <a16:creationId xmlns:a16="http://schemas.microsoft.com/office/drawing/2014/main" id="{9EFF7637-FF66-4345-A647-63505FDB7A47}"/>
                  </a:ext>
                </a:extLst>
              </xdr:cNvPr>
              <xdr:cNvSpPr/>
            </xdr:nvSpPr>
            <xdr:spPr>
              <a:xfrm>
                <a:off x="1091009" y="103493"/>
                <a:ext cx="340024" cy="340472"/>
              </a:xfrm>
              <a:prstGeom prst="ellipse">
                <a:avLst/>
              </a:prstGeom>
              <a:gradFill flip="none" rotWithShape="1">
                <a:gsLst>
                  <a:gs pos="0">
                    <a:srgbClr val="C7C7C7"/>
                  </a:gs>
                  <a:gs pos="64000">
                    <a:schemeClr val="bg1">
                      <a:lumMod val="95000"/>
                    </a:schemeClr>
                  </a:gs>
                  <a:gs pos="80000">
                    <a:srgbClr val="7E7E7E"/>
                  </a:gs>
                  <a:gs pos="100000">
                    <a:schemeClr val="tx1"/>
                  </a:gs>
                </a:gsLst>
                <a:path path="circle">
                  <a:fillToRect l="50000" t="50000" r="50000" b="50000"/>
                </a:path>
                <a:tileRect/>
              </a:gradFill>
              <a:ln w="6350">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0]!Lock_UnlockButton" textlink="">
            <xdr:nvSpPr>
              <xdr:cNvPr id="5" name="B_LockIndicator">
                <a:extLst>
                  <a:ext uri="{FF2B5EF4-FFF2-40B4-BE49-F238E27FC236}">
                    <a16:creationId xmlns:a16="http://schemas.microsoft.com/office/drawing/2014/main" id="{1BA7B3A0-8881-4059-9AA8-785B70AA1844}"/>
                  </a:ext>
                </a:extLst>
              </xdr:cNvPr>
              <xdr:cNvSpPr/>
            </xdr:nvSpPr>
            <xdr:spPr>
              <a:xfrm>
                <a:off x="1124973" y="138802"/>
                <a:ext cx="274320" cy="275052"/>
              </a:xfrm>
              <a:prstGeom prst="ellipse">
                <a:avLst/>
              </a:prstGeom>
              <a:solidFill>
                <a:srgbClr val="00B050"/>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0]!Lock_UnlockButton" textlink="">
          <xdr:nvSpPr>
            <xdr:cNvPr id="40" name="Arrow: U-Turn 39">
              <a:extLst>
                <a:ext uri="{FF2B5EF4-FFF2-40B4-BE49-F238E27FC236}">
                  <a16:creationId xmlns:a16="http://schemas.microsoft.com/office/drawing/2014/main" id="{8A849D76-3E92-4C48-B757-F31F5C2E7265}"/>
                </a:ext>
              </a:extLst>
            </xdr:cNvPr>
            <xdr:cNvSpPr/>
          </xdr:nvSpPr>
          <xdr:spPr>
            <a:xfrm>
              <a:off x="1209700" y="170886"/>
              <a:ext cx="102641" cy="107683"/>
            </a:xfrm>
            <a:prstGeom prst="uturnArrow">
              <a:avLst>
                <a:gd name="adj1" fmla="val 25000"/>
                <a:gd name="adj2" fmla="val 12069"/>
                <a:gd name="adj3" fmla="val 2545"/>
                <a:gd name="adj4" fmla="val 43750"/>
                <a:gd name="adj5" fmla="val 93750"/>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600">
                <a:solidFill>
                  <a:schemeClr val="tx1"/>
                </a:solidFill>
              </a:endParaRPr>
            </a:p>
          </xdr:txBody>
        </xdr:sp>
        <xdr:sp macro="[0]!Lock_UnlockButton" textlink="">
          <xdr:nvSpPr>
            <xdr:cNvPr id="41" name="Rectangle: Rounded Corners 40">
              <a:extLst>
                <a:ext uri="{FF2B5EF4-FFF2-40B4-BE49-F238E27FC236}">
                  <a16:creationId xmlns:a16="http://schemas.microsoft.com/office/drawing/2014/main" id="{5D3FA7C9-EF24-48F4-947B-34D053F0F70D}"/>
                </a:ext>
              </a:extLst>
            </xdr:cNvPr>
            <xdr:cNvSpPr/>
          </xdr:nvSpPr>
          <xdr:spPr>
            <a:xfrm>
              <a:off x="1195055" y="259147"/>
              <a:ext cx="131932" cy="105908"/>
            </a:xfrm>
            <a:prstGeom prst="roundRect">
              <a:avLst>
                <a:gd name="adj" fmla="val 8250"/>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600"/>
            </a:p>
          </xdr:txBody>
        </xdr:sp>
      </xdr:grpSp>
      <xdr:sp macro="[0]!Lock_UnlockButton" textlink="">
        <xdr:nvSpPr>
          <xdr:cNvPr id="39" name="Oval 38">
            <a:extLst>
              <a:ext uri="{FF2B5EF4-FFF2-40B4-BE49-F238E27FC236}">
                <a16:creationId xmlns:a16="http://schemas.microsoft.com/office/drawing/2014/main" id="{11FC6363-30FA-4ADE-9752-F288DBFD39B0}"/>
              </a:ext>
            </a:extLst>
          </xdr:cNvPr>
          <xdr:cNvSpPr/>
        </xdr:nvSpPr>
        <xdr:spPr>
          <a:xfrm>
            <a:off x="1169025" y="140532"/>
            <a:ext cx="181338" cy="137479"/>
          </a:xfrm>
          <a:prstGeom prst="ellipse">
            <a:avLst/>
          </a:prstGeom>
          <a:gradFill flip="none" rotWithShape="1">
            <a:gsLst>
              <a:gs pos="77000">
                <a:schemeClr val="bg1">
                  <a:alpha val="43000"/>
                </a:schemeClr>
              </a:gs>
              <a:gs pos="100000">
                <a:schemeClr val="accent3">
                  <a:lumMod val="30000"/>
                  <a:lumOff val="70000"/>
                  <a:alpha val="0"/>
                </a:schemeClr>
              </a:gs>
            </a:gsLst>
            <a:lin ang="5400000" scaled="1"/>
            <a:tileRect/>
          </a:gradFill>
          <a:ln>
            <a:noFill/>
          </a:ln>
          <a:effectLst>
            <a:softEdge rad="12700"/>
          </a:effectLst>
          <a:scene3d>
            <a:camera prst="orthographicFront"/>
            <a:lightRig rig="threePt" dir="t"/>
          </a:scene3d>
          <a:sp3d prstMaterial="translucentPowder"/>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editAs="absolute">
    <xdr:from>
      <xdr:col>1</xdr:col>
      <xdr:colOff>366961</xdr:colOff>
      <xdr:row>0</xdr:row>
      <xdr:rowOff>65505</xdr:rowOff>
    </xdr:from>
    <xdr:to>
      <xdr:col>1</xdr:col>
      <xdr:colOff>861287</xdr:colOff>
      <xdr:row>2</xdr:row>
      <xdr:rowOff>16425</xdr:rowOff>
    </xdr:to>
    <xdr:grpSp>
      <xdr:nvGrpSpPr>
        <xdr:cNvPr id="13" name="B_Compile">
          <a:extLst>
            <a:ext uri="{FF2B5EF4-FFF2-40B4-BE49-F238E27FC236}">
              <a16:creationId xmlns:a16="http://schemas.microsoft.com/office/drawing/2014/main" id="{00625089-6D39-40EA-9726-36D5AE13C601}"/>
            </a:ext>
          </a:extLst>
        </xdr:cNvPr>
        <xdr:cNvGrpSpPr/>
      </xdr:nvGrpSpPr>
      <xdr:grpSpPr>
        <a:xfrm>
          <a:off x="557461" y="65505"/>
          <a:ext cx="494326" cy="493845"/>
          <a:chOff x="3100710" y="888388"/>
          <a:chExt cx="2103120" cy="2069292"/>
        </a:xfrm>
      </xdr:grpSpPr>
      <xdr:grpSp>
        <xdr:nvGrpSpPr>
          <xdr:cNvPr id="21" name="Group 20">
            <a:extLst>
              <a:ext uri="{FF2B5EF4-FFF2-40B4-BE49-F238E27FC236}">
                <a16:creationId xmlns:a16="http://schemas.microsoft.com/office/drawing/2014/main" id="{7C5A1A52-4ED2-45CF-AE4C-0FB569BD1C95}"/>
              </a:ext>
            </a:extLst>
          </xdr:cNvPr>
          <xdr:cNvGrpSpPr/>
        </xdr:nvGrpSpPr>
        <xdr:grpSpPr>
          <a:xfrm>
            <a:off x="3100710" y="888388"/>
            <a:ext cx="2103120" cy="2069292"/>
            <a:chOff x="6349218" y="1971600"/>
            <a:chExt cx="2103120" cy="2069292"/>
          </a:xfrm>
        </xdr:grpSpPr>
        <xdr:sp macro="[0]!CompileMacro" textlink="">
          <xdr:nvSpPr>
            <xdr:cNvPr id="23" name="Oval 22">
              <a:extLst>
                <a:ext uri="{FF2B5EF4-FFF2-40B4-BE49-F238E27FC236}">
                  <a16:creationId xmlns:a16="http://schemas.microsoft.com/office/drawing/2014/main" id="{E9D60A96-5799-4EF4-8325-AD2EFBC3DAD2}"/>
                </a:ext>
              </a:extLst>
            </xdr:cNvPr>
            <xdr:cNvSpPr/>
          </xdr:nvSpPr>
          <xdr:spPr>
            <a:xfrm>
              <a:off x="6349218" y="3234256"/>
              <a:ext cx="2103120" cy="806636"/>
            </a:xfrm>
            <a:prstGeom prst="ellipse">
              <a:avLst/>
            </a:prstGeom>
            <a:gradFill flip="none" rotWithShape="1">
              <a:gsLst>
                <a:gs pos="0">
                  <a:schemeClr val="tx1">
                    <a:lumMod val="50000"/>
                    <a:lumOff val="50000"/>
                    <a:alpha val="90000"/>
                  </a:schemeClr>
                </a:gs>
                <a:gs pos="99115">
                  <a:schemeClr val="bg1"/>
                </a:gs>
                <a:gs pos="67000">
                  <a:schemeClr val="bg1">
                    <a:lumMod val="85000"/>
                  </a:schemeClr>
                </a:gs>
              </a:gsLst>
              <a:path path="circle">
                <a:fillToRect l="50000" t="50000" r="50000" b="50000"/>
              </a:path>
              <a:tileRect/>
            </a:gradFill>
            <a:ln>
              <a:noFill/>
            </a:ln>
            <a:effectLst>
              <a:softEdge rad="152400"/>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0]!CompileMacro" textlink="">
          <xdr:nvSpPr>
            <xdr:cNvPr id="24" name="Oval 23">
              <a:extLst>
                <a:ext uri="{FF2B5EF4-FFF2-40B4-BE49-F238E27FC236}">
                  <a16:creationId xmlns:a16="http://schemas.microsoft.com/office/drawing/2014/main" id="{DF786EF5-C050-40F5-91FB-82B9E50F8DF8}"/>
                </a:ext>
              </a:extLst>
            </xdr:cNvPr>
            <xdr:cNvSpPr/>
          </xdr:nvSpPr>
          <xdr:spPr>
            <a:xfrm>
              <a:off x="6512534" y="1971600"/>
              <a:ext cx="1776488" cy="1776488"/>
            </a:xfrm>
            <a:prstGeom prst="ellipse">
              <a:avLst/>
            </a:prstGeom>
            <a:gradFill flip="none" rotWithShape="1">
              <a:gsLst>
                <a:gs pos="0">
                  <a:srgbClr val="C7C7C7"/>
                </a:gs>
                <a:gs pos="64000">
                  <a:schemeClr val="bg1">
                    <a:lumMod val="95000"/>
                  </a:schemeClr>
                </a:gs>
                <a:gs pos="80000">
                  <a:srgbClr val="7E7E7E"/>
                </a:gs>
                <a:gs pos="100000">
                  <a:schemeClr val="tx1"/>
                </a:gs>
              </a:gsLst>
              <a:path path="circle">
                <a:fillToRect l="50000" t="50000" r="50000" b="50000"/>
              </a:path>
              <a:tileRect/>
            </a:gradFill>
            <a:ln w="6350">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0]!CompileMacro" textlink="">
          <xdr:nvSpPr>
            <xdr:cNvPr id="25" name="Oval 24">
              <a:extLst>
                <a:ext uri="{FF2B5EF4-FFF2-40B4-BE49-F238E27FC236}">
                  <a16:creationId xmlns:a16="http://schemas.microsoft.com/office/drawing/2014/main" id="{0799A7D0-51C8-41F1-813A-8EA9D468E194}"/>
                </a:ext>
              </a:extLst>
            </xdr:cNvPr>
            <xdr:cNvSpPr/>
          </xdr:nvSpPr>
          <xdr:spPr>
            <a:xfrm rot="2657483">
              <a:off x="6674535" y="2133598"/>
              <a:ext cx="1452488" cy="1452488"/>
            </a:xfrm>
            <a:prstGeom prst="ellipse">
              <a:avLst/>
            </a:prstGeom>
            <a:gradFill flip="none" rotWithShape="1">
              <a:gsLst>
                <a:gs pos="12000">
                  <a:srgbClr val="00B050"/>
                </a:gs>
                <a:gs pos="12000">
                  <a:srgbClr val="00FEAF"/>
                </a:gs>
                <a:gs pos="27000">
                  <a:srgbClr val="2DFF8C"/>
                </a:gs>
                <a:gs pos="52000">
                  <a:srgbClr val="00B050"/>
                </a:gs>
                <a:gs pos="68000">
                  <a:srgbClr val="1FFF96"/>
                </a:gs>
                <a:gs pos="85000">
                  <a:srgbClr val="97FCBA"/>
                </a:gs>
              </a:gsLst>
              <a:path path="circle">
                <a:fillToRect l="100000" t="100000"/>
              </a:path>
              <a:tileRect r="-100000" b="-100000"/>
            </a:gradFill>
            <a:ln w="6350">
              <a:solidFill>
                <a:schemeClr val="bg1">
                  <a:lumMod val="75000"/>
                </a:schemeClr>
              </a:solidFill>
            </a:ln>
            <a:effectLst>
              <a:innerShdw blurRad="368300">
                <a:srgbClr val="007635"/>
              </a:inn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0]!CompileMacro" textlink="">
          <xdr:nvSpPr>
            <xdr:cNvPr id="26" name="Oval 25">
              <a:extLst>
                <a:ext uri="{FF2B5EF4-FFF2-40B4-BE49-F238E27FC236}">
                  <a16:creationId xmlns:a16="http://schemas.microsoft.com/office/drawing/2014/main" id="{806BDBFF-80E1-4476-BB28-109F031BA064}"/>
                </a:ext>
              </a:extLst>
            </xdr:cNvPr>
            <xdr:cNvSpPr/>
          </xdr:nvSpPr>
          <xdr:spPr>
            <a:xfrm>
              <a:off x="6927068" y="2165350"/>
              <a:ext cx="947420" cy="717550"/>
            </a:xfrm>
            <a:prstGeom prst="ellipse">
              <a:avLst/>
            </a:prstGeom>
            <a:gradFill flip="none" rotWithShape="1">
              <a:gsLst>
                <a:gs pos="77000">
                  <a:schemeClr val="bg1">
                    <a:alpha val="43000"/>
                  </a:schemeClr>
                </a:gs>
                <a:gs pos="100000">
                  <a:schemeClr val="accent3">
                    <a:lumMod val="30000"/>
                    <a:lumOff val="70000"/>
                    <a:alpha val="0"/>
                  </a:schemeClr>
                </a:gs>
              </a:gsLst>
              <a:lin ang="5400000" scaled="1"/>
              <a:tileRect/>
            </a:gradFill>
            <a:ln>
              <a:noFill/>
            </a:ln>
            <a:effectLst>
              <a:softEdge rad="12700"/>
            </a:effectLst>
            <a:scene3d>
              <a:camera prst="orthographicFront"/>
              <a:lightRig rig="threePt" dir="t"/>
            </a:scene3d>
            <a:sp3d prstMaterial="translucentPowder"/>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0]!CompileMacro" textlink="">
        <xdr:nvSpPr>
          <xdr:cNvPr id="22" name="Flowchart: Extract 21">
            <a:extLst>
              <a:ext uri="{FF2B5EF4-FFF2-40B4-BE49-F238E27FC236}">
                <a16:creationId xmlns:a16="http://schemas.microsoft.com/office/drawing/2014/main" id="{256BF2A9-E57A-4B5B-B9CE-808F0F2D6AB1}"/>
              </a:ext>
            </a:extLst>
          </xdr:cNvPr>
          <xdr:cNvSpPr/>
        </xdr:nvSpPr>
        <xdr:spPr>
          <a:xfrm rot="5400000">
            <a:off x="3820994" y="1331978"/>
            <a:ext cx="889304" cy="889304"/>
          </a:xfrm>
          <a:prstGeom prst="flowChartExtra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editAs="absolute">
    <xdr:from>
      <xdr:col>0</xdr:col>
      <xdr:colOff>177444</xdr:colOff>
      <xdr:row>0</xdr:row>
      <xdr:rowOff>99907</xdr:rowOff>
    </xdr:from>
    <xdr:to>
      <xdr:col>1</xdr:col>
      <xdr:colOff>373056</xdr:colOff>
      <xdr:row>1</xdr:row>
      <xdr:rowOff>294422</xdr:rowOff>
    </xdr:to>
    <xdr:grpSp>
      <xdr:nvGrpSpPr>
        <xdr:cNvPr id="14" name="B_Questions">
          <a:extLst>
            <a:ext uri="{FF2B5EF4-FFF2-40B4-BE49-F238E27FC236}">
              <a16:creationId xmlns:a16="http://schemas.microsoft.com/office/drawing/2014/main" id="{CA8185F3-053C-4552-A8B2-BF82AC64B25A}"/>
            </a:ext>
          </a:extLst>
        </xdr:cNvPr>
        <xdr:cNvGrpSpPr/>
      </xdr:nvGrpSpPr>
      <xdr:grpSpPr>
        <a:xfrm>
          <a:off x="177444" y="99907"/>
          <a:ext cx="386112" cy="385015"/>
          <a:chOff x="7172719" y="921725"/>
          <a:chExt cx="2103120" cy="2069292"/>
        </a:xfrm>
      </xdr:grpSpPr>
      <xdr:grpSp>
        <xdr:nvGrpSpPr>
          <xdr:cNvPr id="15" name="Group 14">
            <a:extLst>
              <a:ext uri="{FF2B5EF4-FFF2-40B4-BE49-F238E27FC236}">
                <a16:creationId xmlns:a16="http://schemas.microsoft.com/office/drawing/2014/main" id="{2218617B-7FA1-4C49-B848-488D704C1F34}"/>
              </a:ext>
            </a:extLst>
          </xdr:cNvPr>
          <xdr:cNvGrpSpPr/>
        </xdr:nvGrpSpPr>
        <xdr:grpSpPr>
          <a:xfrm>
            <a:off x="7172719" y="921725"/>
            <a:ext cx="2103120" cy="2069292"/>
            <a:chOff x="6349218" y="1971600"/>
            <a:chExt cx="2103120" cy="2069292"/>
          </a:xfrm>
        </xdr:grpSpPr>
        <xdr:sp macro="[0]!Questions" textlink="">
          <xdr:nvSpPr>
            <xdr:cNvPr id="17" name="Oval 16">
              <a:extLst>
                <a:ext uri="{FF2B5EF4-FFF2-40B4-BE49-F238E27FC236}">
                  <a16:creationId xmlns:a16="http://schemas.microsoft.com/office/drawing/2014/main" id="{96233041-CCEE-40D8-A47E-71D32C0B4D63}"/>
                </a:ext>
              </a:extLst>
            </xdr:cNvPr>
            <xdr:cNvSpPr/>
          </xdr:nvSpPr>
          <xdr:spPr>
            <a:xfrm>
              <a:off x="6349218" y="3234256"/>
              <a:ext cx="2103120" cy="806636"/>
            </a:xfrm>
            <a:prstGeom prst="ellipse">
              <a:avLst/>
            </a:prstGeom>
            <a:gradFill flip="none" rotWithShape="1">
              <a:gsLst>
                <a:gs pos="0">
                  <a:schemeClr val="tx1">
                    <a:lumMod val="50000"/>
                    <a:lumOff val="50000"/>
                    <a:alpha val="90000"/>
                  </a:schemeClr>
                </a:gs>
                <a:gs pos="99115">
                  <a:schemeClr val="bg1"/>
                </a:gs>
                <a:gs pos="67000">
                  <a:schemeClr val="bg1">
                    <a:lumMod val="85000"/>
                  </a:schemeClr>
                </a:gs>
              </a:gsLst>
              <a:path path="circle">
                <a:fillToRect l="50000" t="50000" r="50000" b="50000"/>
              </a:path>
              <a:tileRect/>
            </a:gradFill>
            <a:ln>
              <a:noFill/>
            </a:ln>
            <a:effectLst>
              <a:softEdge rad="152400"/>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0]!Questions" textlink="">
          <xdr:nvSpPr>
            <xdr:cNvPr id="18" name="Oval 17">
              <a:extLst>
                <a:ext uri="{FF2B5EF4-FFF2-40B4-BE49-F238E27FC236}">
                  <a16:creationId xmlns:a16="http://schemas.microsoft.com/office/drawing/2014/main" id="{4D875AB6-A3DE-42EB-B759-765E41259BD3}"/>
                </a:ext>
              </a:extLst>
            </xdr:cNvPr>
            <xdr:cNvSpPr/>
          </xdr:nvSpPr>
          <xdr:spPr>
            <a:xfrm>
              <a:off x="6512534" y="1971600"/>
              <a:ext cx="1776488" cy="1776488"/>
            </a:xfrm>
            <a:prstGeom prst="ellipse">
              <a:avLst/>
            </a:prstGeom>
            <a:gradFill flip="none" rotWithShape="1">
              <a:gsLst>
                <a:gs pos="0">
                  <a:srgbClr val="C7C7C7"/>
                </a:gs>
                <a:gs pos="64000">
                  <a:schemeClr val="bg1">
                    <a:lumMod val="95000"/>
                  </a:schemeClr>
                </a:gs>
                <a:gs pos="80000">
                  <a:srgbClr val="7E7E7E"/>
                </a:gs>
                <a:gs pos="100000">
                  <a:schemeClr val="tx1"/>
                </a:gs>
              </a:gsLst>
              <a:path path="circle">
                <a:fillToRect l="50000" t="50000" r="50000" b="50000"/>
              </a:path>
              <a:tileRect/>
            </a:gradFill>
            <a:ln w="6350">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0]!Questions" textlink="">
          <xdr:nvSpPr>
            <xdr:cNvPr id="19" name="Oval 18">
              <a:extLst>
                <a:ext uri="{FF2B5EF4-FFF2-40B4-BE49-F238E27FC236}">
                  <a16:creationId xmlns:a16="http://schemas.microsoft.com/office/drawing/2014/main" id="{E36015B6-D6C0-42F8-884C-990DC4A7FD70}"/>
                </a:ext>
              </a:extLst>
            </xdr:cNvPr>
            <xdr:cNvSpPr/>
          </xdr:nvSpPr>
          <xdr:spPr>
            <a:xfrm rot="2657483">
              <a:off x="6674535" y="2133598"/>
              <a:ext cx="1452488" cy="1452488"/>
            </a:xfrm>
            <a:prstGeom prst="ellipse">
              <a:avLst/>
            </a:prstGeom>
            <a:gradFill flip="none" rotWithShape="1">
              <a:gsLst>
                <a:gs pos="12000">
                  <a:srgbClr val="00B050"/>
                </a:gs>
                <a:gs pos="12000">
                  <a:srgbClr val="00FEAF"/>
                </a:gs>
                <a:gs pos="27000">
                  <a:srgbClr val="2DFF8C"/>
                </a:gs>
                <a:gs pos="52000">
                  <a:srgbClr val="00B050"/>
                </a:gs>
                <a:gs pos="68000">
                  <a:srgbClr val="1FFF96"/>
                </a:gs>
                <a:gs pos="85000">
                  <a:srgbClr val="97FCBA"/>
                </a:gs>
              </a:gsLst>
              <a:path path="circle">
                <a:fillToRect l="100000" t="100000"/>
              </a:path>
              <a:tileRect r="-100000" b="-100000"/>
            </a:gradFill>
            <a:ln w="6350">
              <a:solidFill>
                <a:schemeClr val="bg1">
                  <a:lumMod val="75000"/>
                </a:schemeClr>
              </a:solidFill>
            </a:ln>
            <a:effectLst>
              <a:innerShdw blurRad="368300">
                <a:srgbClr val="007635"/>
              </a:inn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0]!Questions" textlink="">
          <xdr:nvSpPr>
            <xdr:cNvPr id="20" name="Oval 19">
              <a:extLst>
                <a:ext uri="{FF2B5EF4-FFF2-40B4-BE49-F238E27FC236}">
                  <a16:creationId xmlns:a16="http://schemas.microsoft.com/office/drawing/2014/main" id="{DC1CFCD9-861B-48D2-AA8C-17CCDCC8CA4C}"/>
                </a:ext>
              </a:extLst>
            </xdr:cNvPr>
            <xdr:cNvSpPr/>
          </xdr:nvSpPr>
          <xdr:spPr>
            <a:xfrm>
              <a:off x="6927068" y="2165350"/>
              <a:ext cx="947420" cy="717550"/>
            </a:xfrm>
            <a:prstGeom prst="ellipse">
              <a:avLst/>
            </a:prstGeom>
            <a:gradFill flip="none" rotWithShape="1">
              <a:gsLst>
                <a:gs pos="77000">
                  <a:schemeClr val="bg1">
                    <a:alpha val="43000"/>
                  </a:schemeClr>
                </a:gs>
                <a:gs pos="100000">
                  <a:schemeClr val="accent3">
                    <a:lumMod val="30000"/>
                    <a:lumOff val="70000"/>
                    <a:alpha val="0"/>
                  </a:schemeClr>
                </a:gs>
              </a:gsLst>
              <a:lin ang="5400000" scaled="1"/>
              <a:tileRect/>
            </a:gradFill>
            <a:ln>
              <a:noFill/>
            </a:ln>
            <a:effectLst>
              <a:softEdge rad="12700"/>
            </a:effectLst>
            <a:scene3d>
              <a:camera prst="orthographicFront"/>
              <a:lightRig rig="threePt" dir="t"/>
            </a:scene3d>
            <a:sp3d prstMaterial="translucentPowder"/>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0]!Questions" textlink="">
        <xdr:nvSpPr>
          <xdr:cNvPr id="16" name="TextBox 9">
            <a:extLst>
              <a:ext uri="{FF2B5EF4-FFF2-40B4-BE49-F238E27FC236}">
                <a16:creationId xmlns:a16="http://schemas.microsoft.com/office/drawing/2014/main" id="{63E3478B-9F8F-4BE3-855D-D519CC8B9E1F}"/>
              </a:ext>
            </a:extLst>
          </xdr:cNvPr>
          <xdr:cNvSpPr txBox="1"/>
        </xdr:nvSpPr>
        <xdr:spPr>
          <a:xfrm>
            <a:off x="7611832" y="962923"/>
            <a:ext cx="1219201" cy="1796284"/>
          </a:xfrm>
          <a:prstGeom prst="rect">
            <a:avLst/>
          </a:prstGeom>
          <a:noFill/>
          <a:effectLst>
            <a:outerShdw blurRad="50800" dist="38100" dir="5400000" algn="t" rotWithShape="0">
              <a:prstClr val="black">
                <a:alpha val="40000"/>
              </a:prstClr>
            </a:outerShdw>
          </a:effectLst>
        </xdr:spPr>
        <xdr:txBody>
          <a:bodyPr wrap="square" rtlCol="0" anchor="ctr">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2000">
                <a:solidFill>
                  <a:schemeClr val="bg1"/>
                </a:solidFill>
                <a:latin typeface="Dubai Medium" panose="020B0603030403030204" pitchFamily="34" charset="-78"/>
                <a:cs typeface="Dubai Medium" panose="020B0603030403030204" pitchFamily="34" charset="-78"/>
              </a:rPr>
              <a:t>?</a:t>
            </a:r>
          </a:p>
        </xdr:txBody>
      </xdr:sp>
    </xdr:grpSp>
    <xdr:clientData/>
  </xdr:twoCellAnchor>
</xdr:wsDr>
</file>

<file path=xl/queryTables/queryTable1.xml><?xml version="1.0" encoding="utf-8"?>
<queryTable xmlns="http://schemas.openxmlformats.org/spreadsheetml/2006/main" name="ExternalData_1" preserveFormatting="0" adjustColumnWidth="0" connectionId="1" autoFormatId="16" applyNumberFormats="0" applyBorderFormats="0" applyFontFormats="0" applyPatternFormats="0" applyAlignmentFormats="0" applyWidthHeightFormats="0">
  <queryTableRefresh nextId="5">
    <queryTableFields count="4">
      <queryTableField id="1" name="Function Name" tableColumnId="5"/>
      <queryTableField id="2" name="Code" tableColumnId="2"/>
      <queryTableField id="3" name="Fill in these variables for code to function" tableColumnId="3"/>
      <queryTableField id="4" name="Notes"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3" name="Table_PrewrittenCode" displayName="Table_PrewrittenCode" ref="A1:D11" tableType="queryTable" totalsRowShown="0">
  <autoFilter ref="A1:D11"/>
  <tableColumns count="4">
    <tableColumn id="5" uniqueName="5" name="Function Name" queryTableFieldId="1" dataDxfId="252"/>
    <tableColumn id="2" uniqueName="2" name="Code" queryTableFieldId="2" dataDxfId="251"/>
    <tableColumn id="3" uniqueName="3" name="Fill in these variables for code to function" queryTableFieldId="3" dataDxfId="250"/>
    <tableColumn id="4" uniqueName="4" name="Notes" queryTableFieldId="4" dataDxfId="249"/>
  </tableColumns>
  <tableStyleInfo name="TableStyleMedium9" showFirstColumn="0" showLastColumn="0" showRowStripes="1" showColumnStripes="0"/>
</table>
</file>

<file path=xl/tables/table2.xml><?xml version="1.0" encoding="utf-8"?>
<table xmlns="http://schemas.openxmlformats.org/spreadsheetml/2006/main" id="1" name="Table1" displayName="Table1" ref="B3:BR99" totalsRowShown="0" headerRowDxfId="71" dataDxfId="70" tableBorderDxfId="69">
  <tableColumns count="69">
    <tableColumn id="1" name="Select Action" dataDxfId="68"/>
    <tableColumn id="2" name="Initial Code Pull" dataDxfId="67">
      <calculatedColumnFormula>IFERROR(VLOOKUP(B4,Table_PrewrittenCode[#All],2,0),"")</calculatedColumnFormula>
    </tableColumn>
    <tableColumn id="3" name="Code Requires These Inputs" dataDxfId="66">
      <calculatedColumnFormula>IFERROR(VLOOKUP(B4,Table_PrewrittenCode[#All],3,0),"")</calculatedColumnFormula>
    </tableColumn>
    <tableColumn id="4" name="Input_x000a_Title" dataDxfId="65"/>
    <tableColumn id="5" name="Inputs_x000a_Title" dataDxfId="64">
      <calculatedColumnFormula>IF(E4="",$C4,SUBSTITUTE($C4,"!InputTitleHere",$E4))</calculatedColumnFormula>
    </tableColumn>
    <tableColumn id="6" name="Paste_x000a_HTML" dataDxfId="63"/>
    <tableColumn id="59" name="Cleans_x000a_HTML Code" dataDxfId="62">
      <calculatedColumnFormula>CLEAN(G4)</calculatedColumnFormula>
    </tableColumn>
    <tableColumn id="8" name="Inputs_x000a_HTML Code" dataDxfId="61">
      <calculatedColumnFormula>IF($H4="",$F4,SUBSTITUTE($F4,"!InputHTMLHere",IF(LEN(H4)&lt;900,$H4,_xlfn.CONCAT(LEFT(H4,900),"... HTML truncated. View full HTML on MacroCreation worksheet."))))</calculatedColumnFormula>
    </tableColumn>
    <tableColumn id="9" name="Website_x000a_Address" dataDxfId="60"/>
    <tableColumn id="10" name="Inputs_x000a_Website" dataDxfId="59">
      <calculatedColumnFormula>IF($J4="",$I4,SUBSTITUTE($I4,"!InputDesiredWebsite",SUBSTITUTE($J4,CHAR(34),CHAR(34) &amp; CHAR(34))))</calculatedColumnFormula>
    </tableColumn>
    <tableColumn id="68" name="Finds_x000a_Javascript Events" dataDxfId="58"/>
    <tableColumn id="69" name="Inputs Javascript Event" dataDxfId="57">
      <calculatedColumnFormula>IF(L4&lt;&gt;"",SUBSTITUTE(K4,"!InputJavascriptEventHere",L4),K4)</calculatedColumnFormula>
    </tableColumn>
    <tableColumn id="11" name="Input_x000a_Variable" dataDxfId="56"/>
    <tableColumn id="12" name="Inputs_x000a_Variable Names" dataDxfId="55">
      <calculatedColumnFormula>IF(B4="Select Option",IF($N4="",SUBSTITUTE($M4,"!InputSelectedIndex",""),SUBSTITUTE($M4,"!InputSelectedIndex","Ele.SelectedIndex = " &amp; $N4 &amp; ":")),IF($N4="",$M4,SUBSTITUTE($M4,"!InputVariableHere",$N4)))</calculatedColumnFormula>
    </tableColumn>
    <tableColumn id="13" name="Input                     Text" dataDxfId="54"/>
    <tableColumn id="14" name="Inputs Only Text Statements" dataDxfId="53">
      <calculatedColumnFormula>SUBSTITUTE($O4,"!InputOnlyTextHere",$P4)</calculatedColumnFormula>
    </tableColumn>
    <tableColumn id="15" name="Inputs Text" dataDxfId="52">
      <calculatedColumnFormula>IF($N4&lt;&gt;"",SUBSTITUTE($Q4,"!InputTextHere",$N4),IF($P4="",$Q4,SUBSTITUTE($Q4,"!InputTextHere",_xlfn.CONCAT(CHAR(34),$P4,CHAR(34)))))</calculatedColumnFormula>
    </tableColumn>
    <tableColumn id="16" name="Finds Tagname" dataDxfId="51">
      <calculatedColumnFormula>IFERROR(MID($H4,2,SEARCH(" ",$H4,1)-2),"")</calculatedColumnFormula>
    </tableColumn>
    <tableColumn id="17" name="Finds ID" dataDxfId="50">
      <calculatedColumnFormula>IFERROR(IF($H4="","",CONCATENATE(LEFT(REPLACE($H4,1,SEARCH(" ID=",$H4)+LEN(" ID="),""),SEARCH("""",REPLACE($H4,1,SEARCH(" ID=",$H4)+LEN(" ID="),""))-1))),"")</calculatedColumnFormula>
    </tableColumn>
    <tableColumn id="18" name="Finds Name" dataDxfId="49">
      <calculatedColumnFormula>IFERROR(IF($H4="","",CONCATENATE(LEFT(REPLACE($H4,1,SEARCH(" Name=",$H4)+LEN(" Name="),""),SEARCH("""",REPLACE($H4,1,SEARCH(" Name=",$H4)+LEN(" Name="),""))-1))),"")</calculatedColumnFormula>
    </tableColumn>
    <tableColumn id="19" name="Finds Class" dataDxfId="48">
      <calculatedColumnFormula>IFERROR(IF($H4="","",CONCATENATE(LEFT(REPLACE($H4,1,SEARCH(" Class=",$H4)+LEN(" Class="),""),SEARCH("""",REPLACE($H4,1,SEARCH(" Class=",$H4)+LEN(" Class="),""))-1))),"")</calculatedColumnFormula>
    </tableColumn>
    <tableColumn id="20" name="Finds Classname" dataDxfId="47">
      <calculatedColumnFormula>IFERROR(LEFT(REPLACE($H4,1,SEARCH(" Classname=",$H4)+LEN(" Classname="),""),SEARCH("""",REPLACE($H4,1,SEARCH(" Classname=",$H4)+LEN(" Classname="),""))-1),"")</calculatedColumnFormula>
    </tableColumn>
    <tableColumn id="21" name="Finds InnerHTML" dataDxfId="46">
      <calculatedColumnFormula>IFERROR(MID($H4,FIND("&gt;",$H4)+1,FIND("&lt;",$H4,2)-FIND("&gt;",$H4)-1),"")</calculatedColumnFormula>
    </tableColumn>
    <tableColumn id="22" name="Finds Title" dataDxfId="45">
      <calculatedColumnFormula>IFERROR(LEFT(REPLACE($H4,1,SEARCH(" Title=",$H4)+LEN(" Title="),""),SEARCH("""",REPLACE($H4,1,SEARCH(" Title=",$H4)+LEN(" Title="),""))-1),"")</calculatedColumnFormula>
    </tableColumn>
    <tableColumn id="23" name="Finds Value" dataDxfId="44">
      <calculatedColumnFormula>IFERROR(LEFT(REPLACE(G4,1,SEARCH(" Value=",G4)+LEN(" Value="),""),SEARCH("""",REPLACE(G4,1,SEARCH(" Value=",G4)+LEN(" Value="),""))-1),"")</calculatedColumnFormula>
    </tableColumn>
    <tableColumn id="24" name="Finds TabIndex" dataDxfId="43">
      <calculatedColumnFormula>IFERROR(LEFT(REPLACE($H4,1,SEARCH(" TabIndex=",$H4)+LEN(" TabIndex="),""),SEARCH("""",REPLACE($H4,1,SEARCH(" TabIndex=",$H4)+LEN(" TabIndex="),""))-1),"")</calculatedColumnFormula>
    </tableColumn>
    <tableColumn id="25" name="Concatenates ID" dataDxfId="42">
      <calculatedColumnFormula>IF(T4="","",CONCATENATE("Ele.ID Like ",CHAR(34), T4, CHAR(34)))</calculatedColumnFormula>
    </tableColumn>
    <tableColumn id="26" name="Concatenates InnerHTML" dataDxfId="41">
      <calculatedColumnFormula>IF(X4="","",CONCATENATE("Ele.innerHTML Like ",CHAR(34),X4,CHAR(34)))</calculatedColumnFormula>
    </tableColumn>
    <tableColumn id="27" name="Concatenates Name" dataDxfId="40">
      <calculatedColumnFormula>IF(U4="","",CONCATENATE("Ele.Name Like ",CHAR(34),U4,CHAR(34)))</calculatedColumnFormula>
    </tableColumn>
    <tableColumn id="28" name="Concatenates Title" dataDxfId="39">
      <calculatedColumnFormula>IF(Y4="","",CONCATENATE("Ele.Title Like ",CHAR(34),Y4,CHAR(34)))</calculatedColumnFormula>
    </tableColumn>
    <tableColumn id="29" name="Concatenates Value" dataDxfId="38">
      <calculatedColumnFormula>IF(Z4="","",CONCATENATE("Ele.Value Like ",CHAR(34),Z4,CHAR(34)))</calculatedColumnFormula>
    </tableColumn>
    <tableColumn id="30" name="Concatenates TabIndex" dataDxfId="37">
      <calculatedColumnFormula>IF(AA4="","",CONCATENATE("Ele.TabIndex Like ",CHAR(34),AA4,CHAR(34)))</calculatedColumnFormula>
    </tableColumn>
    <tableColumn id="31" name="Concatenates Class" dataDxfId="36">
      <calculatedColumnFormula>IF(V4="","",CONCATENATE("Ele.ClassName Like ",CHAR(34),V4,CHAR(34)))</calculatedColumnFormula>
    </tableColumn>
    <tableColumn id="32" name="Concatenates Classname" dataDxfId="35">
      <calculatedColumnFormula>IF(W4="","",CONCATENATE("Ele.Classname Like ",CHAR(34),W4,CHAR(34)))</calculatedColumnFormula>
    </tableColumn>
    <tableColumn id="63" name="Suggested_x000a_Selector" dataDxfId="34">
      <calculatedColumnFormula>IF(OR(B4="Enter Text",B4="Click Button",B4="Select Option"),IF(AB4&lt;&gt;"",AB4,IF(AD4&lt;&gt;"",AD4,IF(AE4&lt;&gt;"",AE4,IF(AF4&lt;&gt;"",AF4,IF(AH4&lt;&gt;"",AH4,IF(AI4&lt;&gt;"",AI4,IF(AG4&lt;&gt;"",AG4,IF(AC4&lt;&gt;"",AC4,"")))))))),"")</calculatedColumnFormula>
    </tableColumn>
    <tableColumn id="33" name="Choose_x000a_1st Selector" dataDxfId="33">
      <calculatedColumnFormula>AJ4</calculatedColumnFormula>
    </tableColumn>
    <tableColumn id="34" name="Choose_x000a_2nd Selector (Optional)" dataDxfId="32"/>
    <tableColumn id="35" name="Concatenates_x000a_Element Selectors_x000a_1,2" dataDxfId="31">
      <calculatedColumnFormula>IF(ISBLANK($AK4),"",IF(ISBLANK($AL4),$AK4,CONCATENATE($AK4, " And ", $AL4)))</calculatedColumnFormula>
    </tableColumn>
    <tableColumn id="36" name="Choose_x000a_3rd Selector (Optional)" dataDxfId="30"/>
    <tableColumn id="37" name="Concatenates_x000a_Element Selectors 1,2,3" dataDxfId="29">
      <calculatedColumnFormula>IF(ISBLANK($AN4),IF($AM4="","",CONCATENATE($AM4)),CONCATENATE($AM4, " And ", $AN4))</calculatedColumnFormula>
    </tableColumn>
    <tableColumn id="38" name="Finds_x000a_Most Specific Selector" dataDxfId="28">
      <calculatedColumnFormula>IF(T4&lt;&gt;"","GetElementbyID"&amp;CHAR(40) &amp; CHAR(34) &amp; T4 &amp; CHAR(34) &amp; CHAR(41),IF(V4&lt;&gt;"","GetElementsbyClassName"&amp;CHAR(40) &amp; CHAR(34) &amp; V4 &amp; CHAR(34) &amp; CHAR(41),IF(U4&lt;&gt;"","GetElementsbyName"&amp;CHAR(40) &amp; CHAR(34) &amp; U4 &amp; CHAR(34) &amp; CHAR(41),IF(S4&lt;&gt;"","GetElementsbyTagName"&amp;CHAR(40) &amp; CHAR(34) &amp; S4 &amp; CHAR(34) &amp; CHAR(41),""))))</calculatedColumnFormula>
    </tableColumn>
    <tableColumn id="7" name="Finds_x000a_Most Specific_x000a_Option" dataDxfId="27">
      <calculatedColumnFormula>IF(T4&lt;&gt;"","GetElementbyID"&amp;CHAR(40)&amp;CHAR(34)&amp;T4&amp;CHAR(34)&amp;CHAR(41),IF(S4&lt;&gt;"","GetElementsbyTagName"&amp;CHAR(40)&amp;CHAR(34)&amp;S4&amp;CHAR(34)&amp;CHAR(41),""))</calculatedColumnFormula>
    </tableColumn>
    <tableColumn id="39" name="Inputs_x000a_Most Specific Selector" dataDxfId="26">
      <calculatedColumnFormula>IF($AP4="",$R4,SUBSTITUTE($R4,"!InputMostSpecificSelectorHere",$AP4))</calculatedColumnFormula>
    </tableColumn>
    <tableColumn id="65" name="Inputs_x000a_Most Specific_x000a_Option" dataDxfId="25">
      <calculatedColumnFormula>IF(AQ4="",AR4,SUBSTITUTE(AR4,"!InputMostSpecificOptionSelectorHere",AQ4))</calculatedColumnFormula>
    </tableColumn>
    <tableColumn id="64" name="Inputs_x000a_Option Addendum" dataDxfId="24">
      <calculatedColumnFormula>IF(ISNUMBER(SEARCH("GetElementbyID",AQ4)),SUBSTITUTE(AS4,"!InputTagorIDElementWithorWithoutOptionsHere","TagorIDElement.Options"),IF(ISNUMBER(SEARCH("GetElementsbyTagName",AQ4)),SUBSTITUTE(AS4,"!InputTagorIDElementWithorWithoutOptionsHere","TagorIDElement"),AS4))</calculatedColumnFormula>
    </tableColumn>
    <tableColumn id="66" name="Inputs_x000a_OptionorElement 1" dataDxfId="23">
      <calculatedColumnFormula>IF(ISNUMBER(SEARCH("GetElementbyID",AQ4)),SUBSTITUTE(AT4,"!InputOptionforIDorOptionSelectorsHere1","If !InputOptionSelection(s)Here Then"),IF(ISNUMBER(SEARCH("GetElementsbyTagName",AQ4)),SUBSTITUTE(AT4,"!InputOptionforIDorOptionSelectorsHere1","If !InputElementSelector(s)Here Then"),AT4))</calculatedColumnFormula>
    </tableColumn>
    <tableColumn id="67" name="Inputs_x000a_OptionorElement 2" dataDxfId="22">
      <calculatedColumnFormula>IF(ISNUMBER(SEARCH("GetElementbyID",AQ4)),SUBSTITUTE(AU4,"!InputOptionsforIDorOptionSelectorsHere2","'Next line"),IF(ISNUMBER(SEARCH("GetElementsbyTagName",AQ4)),SUBSTITUTE(AU4,"!InputOptionsforIDorOptionSelectorsHere2","!InputOptionSelection(s)Here"),AU4))</calculatedColumnFormula>
    </tableColumn>
    <tableColumn id="40" name="Inputs_x000a_Single Element (TagName)" dataDxfId="21">
      <calculatedColumnFormula>IF($S4="",$AV4,SUBSTITUTE($AV4,"!InputTagNameHere",$S4))</calculatedColumnFormula>
    </tableColumn>
    <tableColumn id="41" name="Inputs_x000a_Single Element (ID)" dataDxfId="20">
      <calculatedColumnFormula>IF($T4="",$AW4,SUBSTITUTE($AW4,"!InputElementIDHere",$T4))</calculatedColumnFormula>
    </tableColumn>
    <tableColumn id="42" name="Inputs_x000a_Single Element (Name)" dataDxfId="19">
      <calculatedColumnFormula>IF($U4="",$AX4,SUBSTITUTE($AX4,"!InputElementNameHere",$U4))</calculatedColumnFormula>
    </tableColumn>
    <tableColumn id="43" name="Inputs_x000a_Single Element (Class)" dataDxfId="18">
      <calculatedColumnFormula>IF($V4="",$AY4,SUBSTITUTE($AY4,"!InputElementClassHere",$V4))</calculatedColumnFormula>
    </tableColumn>
    <tableColumn id="44" name="Inputs_x000a_Element Selector(s)" dataDxfId="17">
      <calculatedColumnFormula>IF($AO4="",$AZ4,SUBSTITUTE($AZ4,"!InputElementSelector(s)Here",$AO4))</calculatedColumnFormula>
    </tableColumn>
    <tableColumn id="45" name="Type_x000a_1st Selection" dataDxfId="16"/>
    <tableColumn id="46" name="Formats_x000a_1st Selection" dataDxfId="15">
      <calculatedColumnFormula>IF(BB4="","",CONCATENATE("Ele.Value = " &amp; CHAR(34), BB4 &amp;CHAR(34)))</calculatedColumnFormula>
    </tableColumn>
    <tableColumn id="47" name="Type_x000a_2nd Selection_x000a_(Optional)" dataDxfId="14"/>
    <tableColumn id="48" name="Formats_x000a_2nd Selection" dataDxfId="13">
      <calculatedColumnFormula>IF(BD4="","",CONCATENATE("            Ele.Value = " &amp; CHAR(34), BD4 &amp;CHAR(34)))</calculatedColumnFormula>
    </tableColumn>
    <tableColumn id="49" name="Concatenates_x000a_Selection 1,2" dataDxfId="12">
      <calculatedColumnFormula>IF($BE4="",$BC4,CONCATENATE(BC4, CHAR(10),BE4))</calculatedColumnFormula>
    </tableColumn>
    <tableColumn id="50" name="Type_x000a_3rd Selection_x000a_(Optional)" dataDxfId="11"/>
    <tableColumn id="51" name="Formats_x000a_3rd Selection" dataDxfId="10">
      <calculatedColumnFormula>IF(BG4="","",CONCATENATE("            Ele.Value = " &amp; CHAR(34), BG4 &amp;CHAR(34)))</calculatedColumnFormula>
    </tableColumn>
    <tableColumn id="52" name="Concatenates_x000a_Selection 1,2,3" dataDxfId="9">
      <calculatedColumnFormula>IF($BH4="",$BF4,CONCATENATE(BF4, CHAR(10),BH4))</calculatedColumnFormula>
    </tableColumn>
    <tableColumn id="53" name="Type_x000a_4th Selection_x000a_(Optional)" dataDxfId="8"/>
    <tableColumn id="54" name="Formats_x000a_4th Selection" dataDxfId="7">
      <calculatedColumnFormula>IF(BJ4="","",CONCATENATE("            Ele.Value = " &amp; CHAR(34), BJ4 &amp;CHAR(34)))</calculatedColumnFormula>
    </tableColumn>
    <tableColumn id="55" name="Concatenates_x000a_Selection 1,2,3,4" dataDxfId="6">
      <calculatedColumnFormula>IF($BJ4="",$BI4,CONCATENATE(BI4, CHAR(10),BK4))</calculatedColumnFormula>
    </tableColumn>
    <tableColumn id="56" name="Type_x000a_5th Selection_x000a_(Optional)" dataDxfId="5"/>
    <tableColumn id="57" name="Formats_x000a_5th Selection" dataDxfId="4">
      <calculatedColumnFormula>IF(BM4="","",CONCATENATE("            Ele.Value = " &amp; CHAR(34), BM4 &amp;CHAR(34)))</calculatedColumnFormula>
    </tableColumn>
    <tableColumn id="58" name="Concatenates_x000a_Selection 1,2,3,4,5" dataDxfId="3">
      <calculatedColumnFormula>IF($BN4="",$BL4,CONCATENATE(BL4, CHAR(10),BN4))</calculatedColumnFormula>
    </tableColumn>
    <tableColumn id="60" name="Inputs_x000a_Options Into Template Code" dataDxfId="2">
      <calculatedColumnFormula>IF($BO4="",$BA4,SUBSTITUTE($BA4,"!InputOptionSelection(s)Here",$BO4))</calculatedColumnFormula>
    </tableColumn>
    <tableColumn id="61" name="SubstituteGoTo" dataDxfId="1">
      <calculatedColumnFormula>SUBSTITUTE($BP4,"!InputStepNumberHere",ROW()-3)</calculatedColumnFormula>
    </tableColumn>
    <tableColumn id="62" name="Collects Final Code" dataDxfId="0">
      <calculatedColumnFormula>IFERROR(IF(BQ4="","",BQ4),"")</calculatedColumnFormula>
    </tableColumn>
  </tableColumns>
  <tableStyleInfo name="TableStyleMedium2" showFirstColumn="0" showLastColumn="0" showRowStripes="0" showColumnStripes="0"/>
</table>
</file>

<file path=xl/theme/theme1.xml><?xml version="1.0" encoding="utf-8"?>
<a:theme xmlns:a="http://schemas.openxmlformats.org/drawingml/2006/main" name="Office Theme">
  <a:themeElements>
    <a:clrScheme name="Blue Green">
      <a:dk1>
        <a:sysClr val="windowText" lastClr="000000"/>
      </a:dk1>
      <a:lt1>
        <a:sysClr val="window" lastClr="FFFFFF"/>
      </a:lt1>
      <a:dk2>
        <a:srgbClr val="373545"/>
      </a:dk2>
      <a:lt2>
        <a:srgbClr val="CEDBE6"/>
      </a:lt2>
      <a:accent1>
        <a:srgbClr val="3494BA"/>
      </a:accent1>
      <a:accent2>
        <a:srgbClr val="58B6C0"/>
      </a:accent2>
      <a:accent3>
        <a:srgbClr val="75BDA7"/>
      </a:accent3>
      <a:accent4>
        <a:srgbClr val="7A8C8E"/>
      </a:accent4>
      <a:accent5>
        <a:srgbClr val="84ACB6"/>
      </a:accent5>
      <a:accent6>
        <a:srgbClr val="2683C6"/>
      </a:accent6>
      <a:hlink>
        <a:srgbClr val="6B9F25"/>
      </a:hlink>
      <a:folHlink>
        <a:srgbClr val="9F6715"/>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11"/>
  <sheetViews>
    <sheetView zoomScale="70" zoomScaleNormal="70" workbookViewId="0">
      <selection activeCell="B2" sqref="B2"/>
    </sheetView>
  </sheetViews>
  <sheetFormatPr defaultRowHeight="15" x14ac:dyDescent="0.25"/>
  <cols>
    <col min="1" max="1" width="36.42578125" style="12" customWidth="1"/>
    <col min="2" max="2" width="112.5703125" customWidth="1"/>
    <col min="3" max="3" width="40.85546875" style="12" customWidth="1"/>
    <col min="4" max="4" width="125.140625" style="12" customWidth="1"/>
  </cols>
  <sheetData>
    <row r="1" spans="1:4" x14ac:dyDescent="0.25">
      <c r="A1" s="11" t="s">
        <v>1</v>
      </c>
      <c r="B1" s="8" t="s">
        <v>0</v>
      </c>
      <c r="C1" s="11" t="s">
        <v>6</v>
      </c>
      <c r="D1" s="11" t="s">
        <v>5</v>
      </c>
    </row>
    <row r="2" spans="1:4" ht="360" x14ac:dyDescent="0.25">
      <c r="A2" s="11" t="s">
        <v>83</v>
      </c>
      <c r="B2" s="9" t="s">
        <v>104</v>
      </c>
      <c r="C2" s="11" t="s">
        <v>35</v>
      </c>
      <c r="D2" s="11"/>
    </row>
    <row r="3" spans="1:4" ht="405" x14ac:dyDescent="0.25">
      <c r="A3" s="11" t="s">
        <v>76</v>
      </c>
      <c r="B3" s="9" t="s">
        <v>103</v>
      </c>
      <c r="C3" s="11" t="s">
        <v>94</v>
      </c>
      <c r="D3" s="11" t="s">
        <v>95</v>
      </c>
    </row>
    <row r="4" spans="1:4" ht="409.5" x14ac:dyDescent="0.25">
      <c r="A4" s="11" t="s">
        <v>77</v>
      </c>
      <c r="B4" s="9" t="s">
        <v>110</v>
      </c>
      <c r="C4" s="11" t="s">
        <v>96</v>
      </c>
      <c r="D4" s="11" t="s">
        <v>97</v>
      </c>
    </row>
    <row r="5" spans="1:4" ht="409.5" x14ac:dyDescent="0.25">
      <c r="A5" s="11" t="s">
        <v>78</v>
      </c>
      <c r="B5" s="9" t="s">
        <v>111</v>
      </c>
      <c r="C5" s="11" t="s">
        <v>112</v>
      </c>
      <c r="D5" s="11"/>
    </row>
    <row r="6" spans="1:4" ht="105" x14ac:dyDescent="0.25">
      <c r="A6" s="11" t="s">
        <v>37</v>
      </c>
      <c r="B6" s="9" t="s">
        <v>84</v>
      </c>
      <c r="C6" s="11" t="s">
        <v>35</v>
      </c>
      <c r="D6" s="11"/>
    </row>
    <row r="7" spans="1:4" ht="300" x14ac:dyDescent="0.25">
      <c r="A7" s="11" t="s">
        <v>105</v>
      </c>
      <c r="B7" s="10" t="s">
        <v>62</v>
      </c>
      <c r="C7" s="11" t="s">
        <v>98</v>
      </c>
      <c r="D7" s="11"/>
    </row>
    <row r="8" spans="1:4" ht="105" x14ac:dyDescent="0.25">
      <c r="A8" s="11" t="s">
        <v>79</v>
      </c>
      <c r="B8" s="9" t="s">
        <v>113</v>
      </c>
      <c r="C8" s="11" t="s">
        <v>66</v>
      </c>
      <c r="D8" s="11"/>
    </row>
    <row r="9" spans="1:4" ht="60" x14ac:dyDescent="0.25">
      <c r="A9" s="11" t="s">
        <v>106</v>
      </c>
      <c r="B9" s="9" t="s">
        <v>67</v>
      </c>
      <c r="C9" s="11" t="s">
        <v>99</v>
      </c>
      <c r="D9" s="11"/>
    </row>
    <row r="10" spans="1:4" ht="60" x14ac:dyDescent="0.25">
      <c r="A10" s="11" t="s">
        <v>107</v>
      </c>
      <c r="B10" s="9" t="s">
        <v>68</v>
      </c>
      <c r="C10" s="11" t="s">
        <v>100</v>
      </c>
      <c r="D10" s="11"/>
    </row>
    <row r="11" spans="1:4" x14ac:dyDescent="0.25">
      <c r="A11" s="11" t="s">
        <v>61</v>
      </c>
      <c r="B11" s="10" t="s">
        <v>114</v>
      </c>
      <c r="C11" s="11" t="s">
        <v>36</v>
      </c>
      <c r="D11" s="11"/>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1:BS109"/>
  <sheetViews>
    <sheetView tabSelected="1" zoomScaleNormal="100" workbookViewId="0">
      <pane xSplit="4" ySplit="3" topLeftCell="E4" activePane="bottomRight" state="frozen"/>
      <selection pane="topRight" activeCell="F1" sqref="F1"/>
      <selection pane="bottomLeft" activeCell="A4" sqref="A4"/>
      <selection pane="bottomRight" activeCell="B4" sqref="B4"/>
    </sheetView>
  </sheetViews>
  <sheetFormatPr defaultColWidth="9.140625" defaultRowHeight="60.75" customHeight="1" x14ac:dyDescent="0.25"/>
  <cols>
    <col min="1" max="1" width="2.85546875" style="1" customWidth="1"/>
    <col min="2" max="2" width="18" style="3" customWidth="1"/>
    <col min="3" max="3" width="27.7109375" style="6" hidden="1" customWidth="1"/>
    <col min="4" max="4" width="28.28515625" style="6" hidden="1" customWidth="1"/>
    <col min="5" max="5" width="18" style="2" customWidth="1"/>
    <col min="6" max="6" width="18.28515625" style="6" hidden="1" customWidth="1"/>
    <col min="7" max="7" width="18" style="2" customWidth="1"/>
    <col min="8" max="8" width="18" style="2" hidden="1" customWidth="1"/>
    <col min="9" max="9" width="18.28515625" style="1" hidden="1" customWidth="1"/>
    <col min="10" max="10" width="18" style="4" customWidth="1"/>
    <col min="11" max="13" width="18.7109375" style="5" hidden="1" customWidth="1"/>
    <col min="14" max="14" width="18" style="15" customWidth="1"/>
    <col min="15" max="15" width="18.28515625" style="5" hidden="1" customWidth="1"/>
    <col min="16" max="16" width="17.140625" style="7" customWidth="1"/>
    <col min="17" max="18" width="18.28515625" style="6" hidden="1" customWidth="1"/>
    <col min="19" max="27" width="18.28515625" style="1" hidden="1" customWidth="1"/>
    <col min="28" max="28" width="18.28515625" style="14" hidden="1" customWidth="1"/>
    <col min="29" max="29" width="18.28515625" style="1" hidden="1" customWidth="1"/>
    <col min="30" max="30" width="13.7109375" style="15" hidden="1" customWidth="1"/>
    <col min="31" max="36" width="18.28515625" style="14" hidden="1" customWidth="1"/>
    <col min="37" max="37" width="18" style="14" customWidth="1"/>
    <col min="38" max="38" width="18" style="15" customWidth="1"/>
    <col min="39" max="39" width="15.28515625" style="2" hidden="1" customWidth="1"/>
    <col min="40" max="44" width="18.28515625" style="2" hidden="1" customWidth="1"/>
    <col min="45" max="45" width="18.140625" style="2" hidden="1" customWidth="1"/>
    <col min="46" max="46" width="18.42578125" style="2" hidden="1" customWidth="1"/>
    <col min="47" max="53" width="18.28515625" style="2" hidden="1" customWidth="1"/>
    <col min="54" max="54" width="18" style="7" customWidth="1"/>
    <col min="55" max="55" width="15.28515625" style="72" hidden="1" customWidth="1"/>
    <col min="56" max="56" width="18" style="7" customWidth="1"/>
    <col min="57" max="57" width="15.28515625" style="2" hidden="1" customWidth="1"/>
    <col min="58" max="69" width="16.85546875" style="2" hidden="1" customWidth="1"/>
    <col min="70" max="70" width="70.5703125" style="2" customWidth="1"/>
    <col min="71" max="71" width="2.85546875" style="2" customWidth="1"/>
    <col min="72" max="16384" width="9.140625" style="1"/>
  </cols>
  <sheetData>
    <row r="1" spans="2:71" ht="15" x14ac:dyDescent="0.25">
      <c r="B1" s="1"/>
      <c r="E1" s="1"/>
      <c r="F1" s="5"/>
      <c r="G1" s="1"/>
      <c r="H1" s="1"/>
      <c r="N1" s="5"/>
      <c r="P1" s="4"/>
      <c r="Q1" s="5"/>
      <c r="R1" s="5"/>
      <c r="AB1" s="13"/>
      <c r="AD1" s="13"/>
      <c r="AE1" s="13"/>
      <c r="AF1" s="13"/>
      <c r="AG1" s="13"/>
      <c r="AH1" s="13"/>
      <c r="AI1" s="13"/>
      <c r="AJ1" s="13"/>
      <c r="AK1" s="1"/>
      <c r="AL1" s="1"/>
      <c r="AM1" s="1"/>
      <c r="AN1" s="1"/>
      <c r="AO1" s="1"/>
      <c r="AP1" s="1"/>
      <c r="AQ1" s="1"/>
      <c r="AR1" s="1" t="str">
        <f>IF(ISNUMBER(SEARCH("GetElementsbyTagName",#REF!)),"Yes","No")</f>
        <v>No</v>
      </c>
      <c r="AS1" s="1"/>
      <c r="AT1" s="1"/>
      <c r="AU1" s="1"/>
      <c r="AV1" s="1"/>
      <c r="AW1" s="1"/>
      <c r="AX1" s="1"/>
      <c r="AY1" s="1"/>
      <c r="AZ1" s="1"/>
      <c r="BA1" s="1"/>
      <c r="BB1" s="4"/>
      <c r="BC1" s="4"/>
      <c r="BD1" s="4"/>
      <c r="BE1" s="1"/>
      <c r="BF1" s="1"/>
      <c r="BG1" s="1"/>
      <c r="BH1" s="1"/>
      <c r="BI1" s="1"/>
      <c r="BJ1" s="1"/>
      <c r="BK1" s="1"/>
      <c r="BL1" s="1"/>
      <c r="BM1" s="1"/>
      <c r="BN1" s="1"/>
      <c r="BO1" s="1"/>
      <c r="BP1" s="1"/>
      <c r="BQ1" s="1"/>
      <c r="BR1" s="18"/>
      <c r="BS1" s="1"/>
    </row>
    <row r="2" spans="2:71" s="16" customFormat="1" ht="27.75" customHeight="1" x14ac:dyDescent="0.25">
      <c r="C2" s="75" t="s">
        <v>8</v>
      </c>
      <c r="D2" s="76"/>
      <c r="E2" s="74" t="s">
        <v>4</v>
      </c>
      <c r="F2" s="74"/>
      <c r="G2" s="74" t="s">
        <v>9</v>
      </c>
      <c r="H2" s="74"/>
      <c r="I2" s="77"/>
      <c r="J2" s="17" t="s">
        <v>10</v>
      </c>
      <c r="K2" s="17" t="s">
        <v>10</v>
      </c>
      <c r="L2" s="80" t="s">
        <v>108</v>
      </c>
      <c r="M2" s="81"/>
      <c r="N2" s="57" t="s">
        <v>41</v>
      </c>
      <c r="O2" s="56"/>
      <c r="P2" s="73" t="s">
        <v>65</v>
      </c>
      <c r="Q2" s="49"/>
      <c r="R2" s="50"/>
      <c r="S2" s="78" t="s">
        <v>69</v>
      </c>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c r="BA2" s="79"/>
      <c r="BB2" s="74" t="s">
        <v>74</v>
      </c>
      <c r="BC2" s="74"/>
      <c r="BD2" s="74"/>
      <c r="BE2" s="74"/>
      <c r="BF2" s="74"/>
      <c r="BG2" s="74"/>
      <c r="BH2" s="74"/>
      <c r="BI2" s="74"/>
      <c r="BJ2" s="74"/>
      <c r="BK2" s="74"/>
      <c r="BL2" s="74"/>
      <c r="BM2" s="74"/>
      <c r="BN2" s="74"/>
      <c r="BO2" s="74"/>
      <c r="BP2" s="74"/>
      <c r="BQ2" s="19" t="s">
        <v>85</v>
      </c>
      <c r="BR2" s="51" t="s">
        <v>11</v>
      </c>
    </row>
    <row r="3" spans="2:71" s="16" customFormat="1" ht="44.25" customHeight="1" x14ac:dyDescent="0.25">
      <c r="B3" s="20" t="s">
        <v>2</v>
      </c>
      <c r="C3" s="21" t="s">
        <v>3</v>
      </c>
      <c r="D3" s="40" t="s">
        <v>7</v>
      </c>
      <c r="E3" s="22" t="s">
        <v>71</v>
      </c>
      <c r="F3" s="41" t="s">
        <v>27</v>
      </c>
      <c r="G3" s="23" t="s">
        <v>70</v>
      </c>
      <c r="H3" s="44" t="s">
        <v>87</v>
      </c>
      <c r="I3" s="42" t="s">
        <v>86</v>
      </c>
      <c r="J3" s="25" t="s">
        <v>73</v>
      </c>
      <c r="K3" s="41" t="s">
        <v>26</v>
      </c>
      <c r="L3" s="41" t="s">
        <v>101</v>
      </c>
      <c r="M3" s="41" t="s">
        <v>102</v>
      </c>
      <c r="N3" s="26" t="s">
        <v>72</v>
      </c>
      <c r="O3" s="41" t="s">
        <v>40</v>
      </c>
      <c r="P3" s="25" t="s">
        <v>109</v>
      </c>
      <c r="Q3" s="41" t="s">
        <v>64</v>
      </c>
      <c r="R3" s="41" t="s">
        <v>63</v>
      </c>
      <c r="S3" s="43" t="s">
        <v>44</v>
      </c>
      <c r="T3" s="43" t="s">
        <v>45</v>
      </c>
      <c r="U3" s="43" t="s">
        <v>46</v>
      </c>
      <c r="V3" s="43" t="s">
        <v>47</v>
      </c>
      <c r="W3" s="43" t="s">
        <v>59</v>
      </c>
      <c r="X3" s="43" t="s">
        <v>55</v>
      </c>
      <c r="Y3" s="43" t="s">
        <v>56</v>
      </c>
      <c r="Z3" s="43" t="s">
        <v>57</v>
      </c>
      <c r="AA3" s="44" t="s">
        <v>58</v>
      </c>
      <c r="AB3" s="44" t="s">
        <v>49</v>
      </c>
      <c r="AC3" s="44" t="s">
        <v>48</v>
      </c>
      <c r="AD3" s="44" t="s">
        <v>50</v>
      </c>
      <c r="AE3" s="44" t="s">
        <v>51</v>
      </c>
      <c r="AF3" s="44" t="s">
        <v>52</v>
      </c>
      <c r="AG3" s="44" t="s">
        <v>53</v>
      </c>
      <c r="AH3" s="44" t="s">
        <v>54</v>
      </c>
      <c r="AI3" s="44" t="s">
        <v>60</v>
      </c>
      <c r="AJ3" s="42" t="s">
        <v>88</v>
      </c>
      <c r="AK3" s="27" t="s">
        <v>28</v>
      </c>
      <c r="AL3" s="27" t="s">
        <v>29</v>
      </c>
      <c r="AM3" s="43" t="s">
        <v>25</v>
      </c>
      <c r="AN3" s="27" t="s">
        <v>30</v>
      </c>
      <c r="AO3" s="43" t="s">
        <v>24</v>
      </c>
      <c r="AP3" s="43" t="s">
        <v>43</v>
      </c>
      <c r="AQ3" s="43" t="s">
        <v>89</v>
      </c>
      <c r="AR3" s="43" t="s">
        <v>42</v>
      </c>
      <c r="AS3" s="43" t="s">
        <v>90</v>
      </c>
      <c r="AT3" s="42" t="s">
        <v>91</v>
      </c>
      <c r="AU3" s="43" t="s">
        <v>92</v>
      </c>
      <c r="AV3" s="43" t="s">
        <v>93</v>
      </c>
      <c r="AW3" s="43" t="s">
        <v>33</v>
      </c>
      <c r="AX3" s="43" t="s">
        <v>23</v>
      </c>
      <c r="AY3" s="43" t="s">
        <v>32</v>
      </c>
      <c r="AZ3" s="43" t="s">
        <v>34</v>
      </c>
      <c r="BA3" s="42" t="s">
        <v>22</v>
      </c>
      <c r="BB3" s="25" t="s">
        <v>31</v>
      </c>
      <c r="BC3" s="67" t="s">
        <v>12</v>
      </c>
      <c r="BD3" s="25" t="s">
        <v>75</v>
      </c>
      <c r="BE3" s="45" t="s">
        <v>13</v>
      </c>
      <c r="BF3" s="46" t="s">
        <v>14</v>
      </c>
      <c r="BG3" s="24" t="s">
        <v>80</v>
      </c>
      <c r="BH3" s="46" t="s">
        <v>15</v>
      </c>
      <c r="BI3" s="42" t="s">
        <v>16</v>
      </c>
      <c r="BJ3" s="24" t="s">
        <v>81</v>
      </c>
      <c r="BK3" s="46" t="s">
        <v>17</v>
      </c>
      <c r="BL3" s="46" t="s">
        <v>18</v>
      </c>
      <c r="BM3" s="24" t="s">
        <v>82</v>
      </c>
      <c r="BN3" s="43" t="s">
        <v>19</v>
      </c>
      <c r="BO3" s="43" t="s">
        <v>20</v>
      </c>
      <c r="BP3" s="47" t="s">
        <v>21</v>
      </c>
      <c r="BQ3" s="47" t="s">
        <v>38</v>
      </c>
      <c r="BR3" s="28" t="s">
        <v>39</v>
      </c>
    </row>
    <row r="4" spans="2:71" ht="70.5" customHeight="1" x14ac:dyDescent="0.25">
      <c r="B4" s="63"/>
      <c r="C4" s="31" t="str">
        <f>IFERROR(VLOOKUP(B4,Table_PrewrittenCode[#All],2,0),"")</f>
        <v/>
      </c>
      <c r="D4" s="32" t="str">
        <f>IFERROR(VLOOKUP(B4,Table_PrewrittenCode[#All],3,0),"")</f>
        <v/>
      </c>
      <c r="E4" s="53"/>
      <c r="F4" s="39" t="str">
        <f>IF(E4="",$C4,SUBSTITUTE($C4,"!InputTitleHere",$E4))</f>
        <v/>
      </c>
      <c r="G4" s="54"/>
      <c r="H4" s="29" t="str">
        <f>CLEAN(G4)</f>
        <v/>
      </c>
      <c r="I4" s="30" t="str">
        <f>IF($H4="",$F4,SUBSTITUTE($F4,"!InputHTMLHere",IF(LEN(H4)&lt;900,$H4,_xlfn.CONCAT(LEFT(H4,900),"... HTML truncated. View full HTML on MacroCreation worksheet."))))</f>
        <v/>
      </c>
      <c r="J4" s="54"/>
      <c r="K4" s="31" t="str">
        <f>IF($J4="",$I4,SUBSTITUTE($I4,"!InputDesiredWebsite",SUBSTITUTE($J4,CHAR(34),CHAR(34) &amp; CHAR(34))))</f>
        <v/>
      </c>
      <c r="L4" s="32"/>
      <c r="M4" s="33" t="str">
        <f>IF(L4&lt;&gt;"",SUBSTITUTE(K4,"!InputJavascriptEventHere",L4),K4)</f>
        <v/>
      </c>
      <c r="N4" s="52"/>
      <c r="O4" s="66" t="str">
        <f>IF(B4="Select Option",IF($N4="",SUBSTITUTE($M4,"!InputSelectedIndex",""),SUBSTITUTE($M4,"!InputSelectedIndex","Ele.SelectedIndex = " &amp; $N4 &amp; ":")),IF($N4="",$M4,SUBSTITUTE($M4,"!InputVariableHere",$N4)))</f>
        <v/>
      </c>
      <c r="P4" s="65"/>
      <c r="Q4" s="31" t="str">
        <f>SUBSTITUTE($O4,"!InputOnlyTextHere",$P4)</f>
        <v/>
      </c>
      <c r="R4" s="32" t="str">
        <f>IF($N4&lt;&gt;"",SUBSTITUTE($Q4,"!InputTextHere",$N4),IF($P4="",$Q4,SUBSTITUTE($Q4,"!InputTextHere",_xlfn.CONCAT(CHAR(34),$P4,CHAR(34)))))</f>
        <v/>
      </c>
      <c r="S4" s="34" t="str">
        <f>IFERROR(MID($H4,2,SEARCH(" ",$H4,1)-2),"")</f>
        <v/>
      </c>
      <c r="T4" s="32" t="str">
        <f>IFERROR(IF($H4="","",CONCATENATE(LEFT(REPLACE($H4,1,SEARCH(" ID=",$H4)+LEN(" ID="),""),SEARCH("""",REPLACE($H4,1,SEARCH(" ID=",$H4)+LEN(" ID="),""))-1))),"")</f>
        <v/>
      </c>
      <c r="U4" s="32" t="str">
        <f>IFERROR(IF($H4="","",CONCATENATE(LEFT(REPLACE($H4,1,SEARCH(" Name=",$H4)+LEN(" Name="),""),SEARCH("""",REPLACE($H4,1,SEARCH(" Name=",$H4)+LEN(" Name="),""))-1))),"")</f>
        <v/>
      </c>
      <c r="V4" s="32" t="str">
        <f>IFERROR(IF($H4="","",CONCATENATE(LEFT(REPLACE($H4,1,SEARCH(" Class=",$H4)+LEN(" Class="),""),SEARCH("""",REPLACE($H4,1,SEARCH(" Class=",$H4)+LEN(" Class="),""))-1))),"")</f>
        <v/>
      </c>
      <c r="W4" s="32" t="str">
        <f>IFERROR(LEFT(REPLACE($H4,1,SEARCH(" Classname=",$H4)+LEN(" Classname="),""),SEARCH("""",REPLACE($H4,1,SEARCH(" Classname=",$H4)+LEN(" Classname="),""))-1),"")</f>
        <v/>
      </c>
      <c r="X4" s="32" t="str">
        <f>IFERROR(MID($H4,FIND("&gt;",$H4)+1,FIND("&lt;",$H4,2)-FIND("&gt;",$H4)-1),"")</f>
        <v/>
      </c>
      <c r="Y4" s="32" t="str">
        <f>IFERROR(LEFT(REPLACE($H4,1,SEARCH(" Title=",$H4)+LEN(" Title="),""),SEARCH("""",REPLACE($H4,1,SEARCH(" Title=",$H4)+LEN(" Title="),""))-1),"")</f>
        <v/>
      </c>
      <c r="Z4" s="32" t="str">
        <f>IFERROR(LEFT(REPLACE(G4,1,SEARCH(" Value=",G4)+LEN(" Value="),""),SEARCH("""",REPLACE(G4,1,SEARCH(" Value=",G4)+LEN(" Value="),""))-1),"")</f>
        <v/>
      </c>
      <c r="AA4" s="32" t="str">
        <f>IFERROR(LEFT(REPLACE($H4,1,SEARCH(" TabIndex=",$H4)+LEN(" TabIndex="),""),SEARCH("""",REPLACE($H4,1,SEARCH(" TabIndex=",$H4)+LEN(" TabIndex="),""))-1),"")</f>
        <v/>
      </c>
      <c r="AB4" s="32" t="str">
        <f>IF(T4="","",CONCATENATE("Ele.ID Like ",CHAR(34), T4, CHAR(34)))</f>
        <v/>
      </c>
      <c r="AC4" s="32" t="str">
        <f>IF(X4="","",CONCATENATE("Ele.innerHTML Like ",CHAR(34),X4,CHAR(34)))</f>
        <v/>
      </c>
      <c r="AD4" s="32" t="str">
        <f>IF(U4="","",CONCATENATE("Ele.Name Like ",CHAR(34),U4,CHAR(34)))</f>
        <v/>
      </c>
      <c r="AE4" s="32" t="str">
        <f>IF(Y4="","",CONCATENATE("Ele.Title Like ",CHAR(34),Y4,CHAR(34)))</f>
        <v/>
      </c>
      <c r="AF4" s="32" t="str">
        <f>IF(Z4="","",CONCATENATE("Ele.Value Like ",CHAR(34),Z4,CHAR(34)))</f>
        <v/>
      </c>
      <c r="AG4" s="32" t="str">
        <f>IF(AA4="","",CONCATENATE("Ele.TabIndex Like ",CHAR(34),AA4,CHAR(34)))</f>
        <v/>
      </c>
      <c r="AH4" s="32" t="str">
        <f>IF(V4="","",CONCATENATE("Ele.ClassName Like ",CHAR(34),V4,CHAR(34)))</f>
        <v/>
      </c>
      <c r="AI4" s="32" t="str">
        <f>IF(W4="","",CONCATENATE("Ele.Classname Like ",CHAR(34),W4,CHAR(34)))</f>
        <v/>
      </c>
      <c r="AJ4" s="35" t="str">
        <f>IF(OR(B4="Enter Text",B4="Click Button",B4="Select Option"),IF(AB4&lt;&gt;"",AB4,IF(AD4&lt;&gt;"",AD4,IF(AE4&lt;&gt;"",AE4,IF(AF4&lt;&gt;"",AF4,IF(AH4&lt;&gt;"",AH4,IF(AI4&lt;&gt;"",AI4,IF(AG4&lt;&gt;"",AG4,IF(AC4&lt;&gt;"",AC4,"")))))))),"")</f>
        <v/>
      </c>
      <c r="AK4" s="53" t="str">
        <f>AJ4</f>
        <v/>
      </c>
      <c r="AL4" s="54"/>
      <c r="AM4" s="29" t="str">
        <f>IF(ISBLANK($AK4),"",IF(ISBLANK($AL4),$AK4,CONCATENATE($AK4, " And ", $AL4)))</f>
        <v/>
      </c>
      <c r="AN4" s="38"/>
      <c r="AO4" s="48" t="str">
        <f>IF(ISBLANK($AN4),IF($AM4="","",CONCATENATE($AM4)),CONCATENATE($AM4, " And ", $AN4))</f>
        <v/>
      </c>
      <c r="AP4" s="48" t="str">
        <f>IF(T4&lt;&gt;"","GetElementbyID"&amp;CHAR(40) &amp; CHAR(34) &amp; T4 &amp; CHAR(34) &amp; CHAR(41),IF(V4&lt;&gt;"","GetElementsbyClassName"&amp;CHAR(40) &amp; CHAR(34) &amp; V4 &amp; CHAR(34) &amp; CHAR(41),IF(U4&lt;&gt;"","GetElementsbyName"&amp;CHAR(40) &amp; CHAR(34) &amp; U4 &amp; CHAR(34) &amp; CHAR(41),IF(S4&lt;&gt;"","GetElementsbyTagName"&amp;CHAR(40) &amp; CHAR(34) &amp; S4 &amp; CHAR(34) &amp; CHAR(41),""))))</f>
        <v/>
      </c>
      <c r="AQ4" s="48" t="str">
        <f>IF(T4&lt;&gt;"","GetElementbyID"&amp;CHAR(40)&amp;CHAR(34)&amp;T4&amp;CHAR(34)&amp;CHAR(41),IF(S4&lt;&gt;"","GetElementsbyTagName"&amp;CHAR(40)&amp;CHAR(34)&amp;S4&amp;CHAR(34)&amp;CHAR(41),""))</f>
        <v/>
      </c>
      <c r="AR4" s="48" t="str">
        <f>IF($AP4="",$R4,SUBSTITUTE($R4,"!InputMostSpecificSelectorHere",$AP4))</f>
        <v/>
      </c>
      <c r="AS4" s="48" t="str">
        <f>IF(AQ4="",AR4,SUBSTITUTE(AR4,"!InputMostSpecificOptionSelectorHere",AQ4))</f>
        <v/>
      </c>
      <c r="AT4" s="48" t="str">
        <f>IF(ISNUMBER(SEARCH("GetElementbyID",AQ4)),SUBSTITUTE(AS4,"!InputTagorIDElementWithorWithoutOptionsHere","TagorIDElement.Options"),IF(ISNUMBER(SEARCH("GetElementsbyTagName",AQ4)),SUBSTITUTE(AS4,"!InputTagorIDElementWithorWithoutOptionsHere","TagorIDElement"),AS4))</f>
        <v/>
      </c>
      <c r="AU4" s="48" t="str">
        <f>IF(ISNUMBER(SEARCH("GetElementbyID",AQ4)),SUBSTITUTE(AT4,"!InputOptionforIDorOptionSelectorsHere1","If !InputOptionSelection(s)Here Then"),IF(ISNUMBER(SEARCH("GetElementsbyTagName",AQ4)),SUBSTITUTE(AT4,"!InputOptionforIDorOptionSelectorsHere1","If !InputElementSelector(s)Here Then"),AT4))</f>
        <v/>
      </c>
      <c r="AV4" s="48" t="str">
        <f>IF(ISNUMBER(SEARCH("GetElementbyID",AQ4)),SUBSTITUTE(AU4,"!InputOptionsforIDorOptionSelectorsHere2","'Next line"),IF(ISNUMBER(SEARCH("GetElementsbyTagName",AQ4)),SUBSTITUTE(AU4,"!InputOptionsforIDorOptionSelectorsHere2","!InputOptionSelection(s)Here"),AU4))</f>
        <v/>
      </c>
      <c r="AW4" s="48" t="str">
        <f>IF($S4="",$AV4,SUBSTITUTE($AV4,"!InputTagNameHere",$S4))</f>
        <v/>
      </c>
      <c r="AX4" s="48" t="str">
        <f>IF($T4="",$AW4,SUBSTITUTE($AW4,"!InputElementIDHere",$T4))</f>
        <v/>
      </c>
      <c r="AY4" s="48" t="str">
        <f>IF($U4="",$AX4,SUBSTITUTE($AX4,"!InputElementNameHere",$U4))</f>
        <v/>
      </c>
      <c r="AZ4" s="48" t="str">
        <f>IF($V4="",$AY4,SUBSTITUTE($AY4,"!InputElementClassHere",$V4))</f>
        <v/>
      </c>
      <c r="BA4" s="48" t="str">
        <f>IF($AO4="",$AZ4,SUBSTITUTE($AZ4,"!InputElementSelector(s)Here",$AO4))</f>
        <v/>
      </c>
      <c r="BB4" s="69"/>
      <c r="BC4" s="68" t="str">
        <f>IF(BB4="","",CONCATENATE("Ele.Value = " &amp; CHAR(34), BB4 &amp;CHAR(34)))</f>
        <v/>
      </c>
      <c r="BD4" s="55"/>
      <c r="BE4" s="36" t="str">
        <f>IF(BD4="","",CONCATENATE("            Ele.Value = " &amp; CHAR(34), BD4 &amp;CHAR(34)))</f>
        <v/>
      </c>
      <c r="BF4" s="35" t="str">
        <f>IF($BE4="",$BC4,CONCATENATE(BC4, CHAR(10),BE4))</f>
        <v/>
      </c>
      <c r="BG4" s="38"/>
      <c r="BH4" s="36" t="str">
        <f>IF(BG4="","",CONCATENATE("            Ele.Value = " &amp; CHAR(34), BG4 &amp;CHAR(34)))</f>
        <v/>
      </c>
      <c r="BI4" s="35" t="str">
        <f>IF($BH4="",$BF4,CONCATENATE(BF4, CHAR(10),BH4))</f>
        <v/>
      </c>
      <c r="BJ4" s="38"/>
      <c r="BK4" s="36" t="str">
        <f>IF(BJ4="","",CONCATENATE("            Ele.Value = " &amp; CHAR(34), BJ4 &amp;CHAR(34)))</f>
        <v/>
      </c>
      <c r="BL4" s="35" t="str">
        <f>IF($BJ4="",$BI4,CONCATENATE(BI4, CHAR(10),BK4))</f>
        <v/>
      </c>
      <c r="BM4" s="38"/>
      <c r="BN4" s="36" t="str">
        <f>IF(BM4="","",CONCATENATE("            Ele.Value = " &amp; CHAR(34), BM4 &amp;CHAR(34)))</f>
        <v/>
      </c>
      <c r="BO4" s="35" t="str">
        <f>IF($BN4="",$BL4,CONCATENATE(BL4, CHAR(10),BN4))</f>
        <v/>
      </c>
      <c r="BP4" s="32" t="str">
        <f>IF($BO4="",$BA4,SUBSTITUTE($BA4,"!InputOptionSelection(s)Here",$BO4))</f>
        <v/>
      </c>
      <c r="BQ4" s="35" t="str">
        <f>SUBSTITUTE($BP4,"!InputStepNumberHere",ROW()-3)</f>
        <v/>
      </c>
      <c r="BR4" s="37" t="str">
        <f>IFERROR(IF(BQ4="","",BQ4),"")</f>
        <v/>
      </c>
      <c r="BS4" s="1"/>
    </row>
    <row r="5" spans="2:71" ht="70.5" customHeight="1" x14ac:dyDescent="0.25">
      <c r="B5" s="63"/>
      <c r="C5" s="31" t="str">
        <f>IFERROR(VLOOKUP(B5,Table_PrewrittenCode[#All],2,0),"")</f>
        <v/>
      </c>
      <c r="D5" s="32" t="str">
        <f>IFERROR(VLOOKUP(B5,Table_PrewrittenCode[#All],3,0),"")</f>
        <v/>
      </c>
      <c r="E5" s="53"/>
      <c r="F5" s="39" t="str">
        <f t="shared" ref="F5:F67" si="0">IF(E5="",$C5,SUBSTITUTE($C5,"!InputTitleHere",$E5))</f>
        <v/>
      </c>
      <c r="G5" s="54"/>
      <c r="H5" s="29" t="str">
        <f t="shared" ref="H5:H67" si="1">CLEAN(G5)</f>
        <v/>
      </c>
      <c r="I5" s="30" t="str">
        <f t="shared" ref="I5:I67" si="2">IF($H5="",$F5,SUBSTITUTE($F5,"!InputHTMLHere",IF(LEN(H5)&lt;900,$H5,_xlfn.CONCAT(LEFT(H5,900),"... HTML truncated. View full HTML on MacroCreation worksheet."))))</f>
        <v/>
      </c>
      <c r="J5" s="54"/>
      <c r="K5" s="31" t="str">
        <f t="shared" ref="K5:K67" si="3">IF($J5="",$I5,SUBSTITUTE($I5,"!InputDesiredWebsite",SUBSTITUTE($J5,CHAR(34),CHAR(34) &amp; CHAR(34))))</f>
        <v/>
      </c>
      <c r="L5" s="32" t="str">
        <f t="shared" ref="L5:L67" si="4">IF(ISNUMBER(SEARCH("onchange=",G5)),"onchange",IF(ISNUMBER(SEARCH("onsubmit=",G5)),"onsubmit",IF(ISNUMBER(SEARCH("onclick=",G5)),"onclick",IF(ISNUMBER(SEARCH("onselect=",G5)),"onselect",IF(ISNUMBER(SEARCH("onfocus=",G5)),"onfocus",IF(ISNUMBER(SEARCH("onblur",G5)),"onblur",""))))))</f>
        <v/>
      </c>
      <c r="M5" s="33" t="str">
        <f t="shared" ref="M5:M67" si="5">IF(L5&lt;&gt;"",SUBSTITUTE(K5,"!InputJavascriptEventHere",L5),K5)</f>
        <v/>
      </c>
      <c r="N5" s="52"/>
      <c r="O5" s="66" t="str">
        <f t="shared" ref="O5:O68" si="6">IF(B5="Select Option",IF($N5="",SUBSTITUTE($M5,"!InputSelectedIndex",""),SUBSTITUTE($M5,"!InputSelectedIndex","Ele.SelectedIndex = " &amp; $N5 &amp; ":")),IF($N5="",$M5,SUBSTITUTE($M5,"!InputVariableHere",$N5)))</f>
        <v/>
      </c>
      <c r="P5" s="65"/>
      <c r="Q5" s="31" t="str">
        <f t="shared" ref="Q5:Q67" si="7">SUBSTITUTE($O5,"!InputOnlyTextHere",$P5)</f>
        <v/>
      </c>
      <c r="R5" s="32" t="str">
        <f t="shared" ref="R5:R67" si="8">IF($N5&lt;&gt;"",SUBSTITUTE($Q5,"!InputTextHere",$N5),IF($P5="",$Q5,SUBSTITUTE($Q5,"!InputTextHere",_xlfn.CONCAT(CHAR(34),$P5,CHAR(34)))))</f>
        <v/>
      </c>
      <c r="S5" s="34" t="str">
        <f t="shared" ref="S5:S67" si="9">IFERROR(MID($H5,2,SEARCH(" ",$H5,1)-2),"")</f>
        <v/>
      </c>
      <c r="T5" s="32" t="str">
        <f t="shared" ref="T5:T67" si="10">IFERROR(IF($H5="","",CONCATENATE(LEFT(REPLACE($H5,1,SEARCH(" ID=",$H5)+LEN(" ID="),""),SEARCH("""",REPLACE($H5,1,SEARCH(" ID=",$H5)+LEN(" ID="),""))-1))),"")</f>
        <v/>
      </c>
      <c r="U5" s="32" t="str">
        <f t="shared" ref="U5:U67" si="11">IFERROR(IF($H5="","",CONCATENATE(LEFT(REPLACE($H5,1,SEARCH(" Name=",$H5)+LEN(" Name="),""),SEARCH("""",REPLACE($H5,1,SEARCH(" Name=",$H5)+LEN(" Name="),""))-1))),"")</f>
        <v/>
      </c>
      <c r="V5" s="32" t="str">
        <f t="shared" ref="V5:V67" si="12">IFERROR(IF($H5="","",CONCATENATE(LEFT(REPLACE($H5,1,SEARCH(" Class=",$H5)+LEN(" Class="),""),SEARCH("""",REPLACE($H5,1,SEARCH(" Class=",$H5)+LEN(" Class="),""))-1))),"")</f>
        <v/>
      </c>
      <c r="W5" s="32" t="str">
        <f t="shared" ref="W5:W67" si="13">IFERROR(LEFT(REPLACE($H5,1,SEARCH(" Classname=",$H5)+LEN(" Classname="),""),SEARCH("""",REPLACE($H5,1,SEARCH(" Classname=",$H5)+LEN(" Classname="),""))-1),"")</f>
        <v/>
      </c>
      <c r="X5" s="32" t="str">
        <f t="shared" ref="X5:X67" si="14">IFERROR(MID($H5,FIND("&gt;",$H5)+1,FIND("&lt;",$H5,2)-FIND("&gt;",$H5)-1),"")</f>
        <v/>
      </c>
      <c r="Y5" s="32" t="str">
        <f t="shared" ref="Y5:Y67" si="15">IFERROR(LEFT(REPLACE($H5,1,SEARCH(" Title=",$H5)+LEN(" Title="),""),SEARCH("""",REPLACE($H5,1,SEARCH(" Title=",$H5)+LEN(" Title="),""))-1),"")</f>
        <v/>
      </c>
      <c r="Z5" s="32" t="str">
        <f t="shared" ref="Z5:Z67" si="16">IFERROR(LEFT(REPLACE(G5,1,SEARCH(" Value=",G5)+LEN(" Value="),""),SEARCH("""",REPLACE(G5,1,SEARCH(" Value=",G5)+LEN(" Value="),""))-1),"")</f>
        <v/>
      </c>
      <c r="AA5" s="32" t="str">
        <f t="shared" ref="AA5:AA67" si="17">IFERROR(LEFT(REPLACE($H5,1,SEARCH(" TabIndex=",$H5)+LEN(" TabIndex="),""),SEARCH("""",REPLACE($H5,1,SEARCH(" TabIndex=",$H5)+LEN(" TabIndex="),""))-1),"")</f>
        <v/>
      </c>
      <c r="AB5" s="32" t="str">
        <f t="shared" ref="AB5:AB67" si="18">IF(T5="","",CONCATENATE("Ele.ID Like ",CHAR(34), T5, CHAR(34)))</f>
        <v/>
      </c>
      <c r="AC5" s="32" t="str">
        <f t="shared" ref="AC5:AC67" si="19">IF(X5="","",CONCATENATE("Ele.innerHTML Like ",CHAR(34),X5,CHAR(34)))</f>
        <v/>
      </c>
      <c r="AD5" s="32" t="str">
        <f t="shared" ref="AD5:AD67" si="20">IF(U5="","",CONCATENATE("Ele.Name Like ",CHAR(34),U5,CHAR(34)))</f>
        <v/>
      </c>
      <c r="AE5" s="32" t="str">
        <f t="shared" ref="AE5:AE67" si="21">IF(Y5="","",CONCATENATE("Ele.Title Like ",CHAR(34),Y5,CHAR(34)))</f>
        <v/>
      </c>
      <c r="AF5" s="32" t="str">
        <f t="shared" ref="AF5:AF67" si="22">IF(Z5="","",CONCATENATE("Ele.Value Like ",CHAR(34),Z5,CHAR(34)))</f>
        <v/>
      </c>
      <c r="AG5" s="32" t="str">
        <f t="shared" ref="AG5:AG67" si="23">IF(AA5="","",CONCATENATE("Ele.TabIndex Like ",CHAR(34),AA5,CHAR(34)))</f>
        <v/>
      </c>
      <c r="AH5" s="32" t="str">
        <f t="shared" ref="AH5:AH67" si="24">IF(V5="","",CONCATENATE("Ele.ClassName Like ",CHAR(34),V5,CHAR(34)))</f>
        <v/>
      </c>
      <c r="AI5" s="32" t="str">
        <f t="shared" ref="AI5:AI67" si="25">IF(W5="","",CONCATENATE("Ele.Classname Like ",CHAR(34),W5,CHAR(34)))</f>
        <v/>
      </c>
      <c r="AJ5" s="35" t="str">
        <f t="shared" ref="AJ5:AJ67" si="26">IF(OR(B5="Enter Text",B5="Click Button",B5="Select Option"),IF(AB5&lt;&gt;"",AB5,IF(AD5&lt;&gt;"",AD5,IF(AE5&lt;&gt;"",AE5,IF(AF5&lt;&gt;"",AF5,IF(AH5&lt;&gt;"",AH5,IF(AI5&lt;&gt;"",AI5,IF(AG5&lt;&gt;"",AG5,IF(AC5&lt;&gt;"",AC5,"")))))))),"")</f>
        <v/>
      </c>
      <c r="AK5" s="53" t="str">
        <f t="shared" ref="AK5:AK67" si="27">AJ5</f>
        <v/>
      </c>
      <c r="AL5" s="54"/>
      <c r="AM5" s="29" t="str">
        <f t="shared" ref="AM5:AM67" si="28">IF(ISBLANK($AK5),"",IF(ISBLANK($AL5),$AK5,CONCATENATE($AK5, " And ", $AL5)))</f>
        <v/>
      </c>
      <c r="AN5" s="38"/>
      <c r="AO5" s="48" t="str">
        <f t="shared" ref="AO5:AO67" si="29">IF(ISBLANK($AN5),IF($AM5="","",CONCATENATE($AM5)),CONCATENATE($AM5, " And ", $AN5))</f>
        <v/>
      </c>
      <c r="AP5" s="48" t="str">
        <f t="shared" ref="AP5:AP67" si="30">IF(T5&lt;&gt;"","GetElementbyID"&amp;CHAR(40) &amp; CHAR(34) &amp; T5 &amp; CHAR(34) &amp; CHAR(41),IF(V5&lt;&gt;"","GetElementsbyClassName"&amp;CHAR(40) &amp; CHAR(34) &amp; V5 &amp; CHAR(34) &amp; CHAR(41),IF(U5&lt;&gt;"","GetElementsbyName"&amp;CHAR(40) &amp; CHAR(34) &amp; U5 &amp; CHAR(34) &amp; CHAR(41),IF(S5&lt;&gt;"","GetElementsbyTagName"&amp;CHAR(40) &amp; CHAR(34) &amp; S5 &amp; CHAR(34) &amp; CHAR(41),""))))</f>
        <v/>
      </c>
      <c r="AQ5" s="48" t="str">
        <f t="shared" ref="AQ5:AQ67" si="31">IF(T5&lt;&gt;"","GetElementbyID"&amp;CHAR(40)&amp;CHAR(34)&amp;T5&amp;CHAR(34)&amp;CHAR(41),IF(S5&lt;&gt;"","GetElementsbyTagName"&amp;CHAR(40)&amp;CHAR(34)&amp;S5&amp;CHAR(34)&amp;CHAR(41),""))</f>
        <v/>
      </c>
      <c r="AR5" s="48" t="str">
        <f t="shared" ref="AR5:AR67" si="32">IF($AP5="",$R5,SUBSTITUTE($R5,"!InputMostSpecificSelectorHere",$AP5))</f>
        <v/>
      </c>
      <c r="AS5" s="48" t="str">
        <f t="shared" ref="AS5:AS67" si="33">IF(AQ5="",AR5,SUBSTITUTE(AR5,"!InputMostSpecificOptionSelectorHere",AQ5))</f>
        <v/>
      </c>
      <c r="AT5" s="48" t="str">
        <f t="shared" ref="AT5:AT67" si="34">IF(ISNUMBER(SEARCH("GetElementbyID",AQ5)),SUBSTITUTE(AS5,"!InputTagorIDElementWithorWithoutOptionsHere","TagorIDElement.Options"),IF(ISNUMBER(SEARCH("GetElementsbyTagName",AQ5)),SUBSTITUTE(AS5,"!InputTagorIDElementWithorWithoutOptionsHere","TagorIDElement"),AS5))</f>
        <v/>
      </c>
      <c r="AU5" s="48" t="str">
        <f t="shared" ref="AU5:AU67" si="35">IF(ISNUMBER(SEARCH("GetElementbyID",AQ5)),SUBSTITUTE(AT5,"!InputOptionforIDorOptionSelectorsHere1","If !InputOptionSelection(s)Here Then"),IF(ISNUMBER(SEARCH("GetElementsbyTagName",AQ5)),SUBSTITUTE(AT5,"!InputOptionforIDorOptionSelectorsHere1","If !InputElementSelector(s)Here Then"),AT5))</f>
        <v/>
      </c>
      <c r="AV5" s="48" t="str">
        <f t="shared" ref="AV5:AV67" si="36">IF(ISNUMBER(SEARCH("GetElementbyID",AQ5)),SUBSTITUTE(AU5,"!InputOptionsforIDorOptionSelectorsHere2","'Next line"),IF(ISNUMBER(SEARCH("GetElementsbyTagName",AQ5)),SUBSTITUTE(AU5,"!InputOptionsforIDorOptionSelectorsHere2","!InputOptionSelection(s)Here"),AU5))</f>
        <v/>
      </c>
      <c r="AW5" s="48" t="str">
        <f t="shared" ref="AW5:AW67" si="37">IF($S5="",$AV5,SUBSTITUTE($AV5,"!InputTagNameHere",$S5))</f>
        <v/>
      </c>
      <c r="AX5" s="48" t="str">
        <f t="shared" ref="AX5:AX67" si="38">IF($T5="",$AW5,SUBSTITUTE($AW5,"!InputElementIDHere",$T5))</f>
        <v/>
      </c>
      <c r="AY5" s="48" t="str">
        <f t="shared" ref="AY5:AY67" si="39">IF($U5="",$AX5,SUBSTITUTE($AX5,"!InputElementNameHere",$U5))</f>
        <v/>
      </c>
      <c r="AZ5" s="48" t="str">
        <f t="shared" ref="AZ5:AZ67" si="40">IF($V5="",$AY5,SUBSTITUTE($AY5,"!InputElementClassHere",$V5))</f>
        <v/>
      </c>
      <c r="BA5" s="48" t="str">
        <f t="shared" ref="BA5:BA67" si="41">IF($AO5="",$AZ5,SUBSTITUTE($AZ5,"!InputElementSelector(s)Here",$AO5))</f>
        <v/>
      </c>
      <c r="BB5" s="69"/>
      <c r="BC5" s="68" t="str">
        <f t="shared" ref="BC5:BC67" si="42">IF(BB5="","",CONCATENATE("Ele.Value = " &amp; CHAR(34), BB5 &amp;CHAR(34)))</f>
        <v/>
      </c>
      <c r="BD5" s="55"/>
      <c r="BE5" s="36" t="str">
        <f t="shared" ref="BE5:BE67" si="43">IF(BD5="","",CONCATENATE("            Ele.Value = " &amp; CHAR(34), BD5 &amp;CHAR(34)))</f>
        <v/>
      </c>
      <c r="BF5" s="35" t="str">
        <f t="shared" ref="BF5:BF67" si="44">IF($BE5="",$BC5,CONCATENATE(BC5, CHAR(10),BE5))</f>
        <v/>
      </c>
      <c r="BG5" s="38"/>
      <c r="BH5" s="36" t="str">
        <f t="shared" ref="BH5:BH67" si="45">IF(BG5="","",CONCATENATE("            Ele.Value = " &amp; CHAR(34), BG5 &amp;CHAR(34)))</f>
        <v/>
      </c>
      <c r="BI5" s="35" t="str">
        <f t="shared" ref="BI5:BI67" si="46">IF($BH5="",$BF5,CONCATENATE(BF5, CHAR(10),BH5))</f>
        <v/>
      </c>
      <c r="BJ5" s="38"/>
      <c r="BK5" s="36" t="str">
        <f t="shared" ref="BK5:BK67" si="47">IF(BJ5="","",CONCATENATE("            Ele.Value = " &amp; CHAR(34), BJ5 &amp;CHAR(34)))</f>
        <v/>
      </c>
      <c r="BL5" s="35" t="str">
        <f t="shared" ref="BL5:BL67" si="48">IF($BJ5="",$BI5,CONCATENATE(BI5, CHAR(10),BK5))</f>
        <v/>
      </c>
      <c r="BM5" s="38"/>
      <c r="BN5" s="36" t="str">
        <f t="shared" ref="BN5:BN67" si="49">IF(BM5="","",CONCATENATE("            Ele.Value = " &amp; CHAR(34), BM5 &amp;CHAR(34)))</f>
        <v/>
      </c>
      <c r="BO5" s="35" t="str">
        <f t="shared" ref="BO5:BO67" si="50">IF($BN5="",$BL5,CONCATENATE(BL5, CHAR(10),BN5))</f>
        <v/>
      </c>
      <c r="BP5" s="32" t="str">
        <f t="shared" ref="BP5:BP67" si="51">IF($BO5="",$BA5,SUBSTITUTE($BA5,"!InputOptionSelection(s)Here",$BO5))</f>
        <v/>
      </c>
      <c r="BQ5" s="35" t="str">
        <f t="shared" ref="BQ5:BQ67" si="52">SUBSTITUTE($BP5,"!InputStepNumberHere",ROW()-3)</f>
        <v/>
      </c>
      <c r="BR5" s="37" t="str">
        <f t="shared" ref="BR5:BR77" si="53">IFERROR(IF(BQ5="","",BQ5),"")</f>
        <v/>
      </c>
      <c r="BS5" s="1"/>
    </row>
    <row r="6" spans="2:71" ht="70.5" customHeight="1" x14ac:dyDescent="0.25">
      <c r="B6" s="63"/>
      <c r="C6" s="64" t="str">
        <f>IFERROR(VLOOKUP(B6,Table_PrewrittenCode[#All],2,0),"")</f>
        <v/>
      </c>
      <c r="D6" s="32" t="str">
        <f>IFERROR(VLOOKUP(B6,Table_PrewrittenCode[#All],3,0),"")</f>
        <v/>
      </c>
      <c r="E6" s="54"/>
      <c r="F6" s="58" t="str">
        <f t="shared" si="0"/>
        <v/>
      </c>
      <c r="G6" s="54"/>
      <c r="H6" s="59" t="str">
        <f t="shared" si="1"/>
        <v/>
      </c>
      <c r="I6" s="48" t="str">
        <f t="shared" si="2"/>
        <v/>
      </c>
      <c r="J6" s="54"/>
      <c r="K6" s="60" t="str">
        <f t="shared" si="3"/>
        <v/>
      </c>
      <c r="L6" s="32" t="str">
        <f t="shared" si="4"/>
        <v/>
      </c>
      <c r="M6" s="32" t="str">
        <f t="shared" si="5"/>
        <v/>
      </c>
      <c r="N6" s="55"/>
      <c r="O6" s="66" t="str">
        <f t="shared" si="6"/>
        <v/>
      </c>
      <c r="P6" s="65"/>
      <c r="Q6" s="60" t="str">
        <f t="shared" si="7"/>
        <v/>
      </c>
      <c r="R6" s="32" t="str">
        <f t="shared" si="8"/>
        <v/>
      </c>
      <c r="S6" s="34" t="str">
        <f t="shared" si="9"/>
        <v/>
      </c>
      <c r="T6" s="32" t="str">
        <f t="shared" si="10"/>
        <v/>
      </c>
      <c r="U6" s="32" t="str">
        <f t="shared" si="11"/>
        <v/>
      </c>
      <c r="V6" s="32" t="str">
        <f t="shared" si="12"/>
        <v/>
      </c>
      <c r="W6" s="32" t="str">
        <f t="shared" si="13"/>
        <v/>
      </c>
      <c r="X6" s="32" t="str">
        <f t="shared" si="14"/>
        <v/>
      </c>
      <c r="Y6" s="32" t="str">
        <f t="shared" si="15"/>
        <v/>
      </c>
      <c r="Z6" s="32" t="str">
        <f t="shared" si="16"/>
        <v/>
      </c>
      <c r="AA6" s="32" t="str">
        <f t="shared" si="17"/>
        <v/>
      </c>
      <c r="AB6" s="32" t="str">
        <f t="shared" si="18"/>
        <v/>
      </c>
      <c r="AC6" s="35" t="str">
        <f t="shared" si="19"/>
        <v/>
      </c>
      <c r="AD6" s="32" t="str">
        <f t="shared" si="20"/>
        <v/>
      </c>
      <c r="AE6" s="32" t="str">
        <f t="shared" si="21"/>
        <v/>
      </c>
      <c r="AF6" s="32" t="str">
        <f t="shared" si="22"/>
        <v/>
      </c>
      <c r="AG6" s="32" t="str">
        <f t="shared" si="23"/>
        <v/>
      </c>
      <c r="AH6" s="32" t="str">
        <f t="shared" si="24"/>
        <v/>
      </c>
      <c r="AI6" s="32" t="str">
        <f t="shared" si="25"/>
        <v/>
      </c>
      <c r="AJ6" s="32" t="str">
        <f t="shared" si="26"/>
        <v/>
      </c>
      <c r="AK6" s="61" t="str">
        <f t="shared" si="27"/>
        <v/>
      </c>
      <c r="AL6" s="54"/>
      <c r="AM6" s="60" t="str">
        <f t="shared" si="28"/>
        <v/>
      </c>
      <c r="AN6" s="38"/>
      <c r="AO6" s="32" t="str">
        <f t="shared" si="29"/>
        <v/>
      </c>
      <c r="AP6" s="32" t="str">
        <f t="shared" si="30"/>
        <v/>
      </c>
      <c r="AQ6" s="32" t="str">
        <f t="shared" si="31"/>
        <v/>
      </c>
      <c r="AR6" s="32" t="str">
        <f t="shared" si="32"/>
        <v/>
      </c>
      <c r="AS6" s="32" t="str">
        <f t="shared" si="33"/>
        <v/>
      </c>
      <c r="AT6" s="32" t="str">
        <f t="shared" si="34"/>
        <v/>
      </c>
      <c r="AU6" s="32" t="str">
        <f t="shared" si="35"/>
        <v/>
      </c>
      <c r="AV6" s="32" t="str">
        <f t="shared" si="36"/>
        <v/>
      </c>
      <c r="AW6" s="32" t="str">
        <f t="shared" si="37"/>
        <v/>
      </c>
      <c r="AX6" s="32" t="str">
        <f t="shared" si="38"/>
        <v/>
      </c>
      <c r="AY6" s="32" t="str">
        <f t="shared" si="39"/>
        <v/>
      </c>
      <c r="AZ6" s="32" t="str">
        <f t="shared" si="40"/>
        <v/>
      </c>
      <c r="BA6" s="32" t="str">
        <f t="shared" si="41"/>
        <v/>
      </c>
      <c r="BB6" s="70"/>
      <c r="BC6" s="71" t="str">
        <f t="shared" si="42"/>
        <v/>
      </c>
      <c r="BD6" s="55"/>
      <c r="BE6" s="62" t="str">
        <f t="shared" si="43"/>
        <v/>
      </c>
      <c r="BF6" s="35" t="str">
        <f t="shared" si="44"/>
        <v/>
      </c>
      <c r="BG6" s="38"/>
      <c r="BH6" s="35" t="str">
        <f t="shared" si="45"/>
        <v/>
      </c>
      <c r="BI6" s="35" t="str">
        <f t="shared" si="46"/>
        <v/>
      </c>
      <c r="BJ6" s="38"/>
      <c r="BK6" s="35" t="str">
        <f t="shared" si="47"/>
        <v/>
      </c>
      <c r="BL6" s="35" t="str">
        <f t="shared" si="48"/>
        <v/>
      </c>
      <c r="BM6" s="38"/>
      <c r="BN6" s="35" t="str">
        <f t="shared" si="49"/>
        <v/>
      </c>
      <c r="BO6" s="35" t="str">
        <f t="shared" si="50"/>
        <v/>
      </c>
      <c r="BP6" s="32" t="str">
        <f t="shared" si="51"/>
        <v/>
      </c>
      <c r="BQ6" s="35" t="str">
        <f t="shared" si="52"/>
        <v/>
      </c>
      <c r="BR6" s="37" t="str">
        <f t="shared" si="53"/>
        <v/>
      </c>
      <c r="BS6" s="1"/>
    </row>
    <row r="7" spans="2:71" ht="70.5" customHeight="1" x14ac:dyDescent="0.25">
      <c r="B7" s="63"/>
      <c r="C7" s="64" t="str">
        <f>IFERROR(VLOOKUP(B7,Table_PrewrittenCode[#All],2,0),"")</f>
        <v/>
      </c>
      <c r="D7" s="32" t="str">
        <f>IFERROR(VLOOKUP(B7,Table_PrewrittenCode[#All],3,0),"")</f>
        <v/>
      </c>
      <c r="E7" s="54"/>
      <c r="F7" s="58" t="str">
        <f t="shared" si="0"/>
        <v/>
      </c>
      <c r="G7" s="54"/>
      <c r="H7" s="59" t="str">
        <f t="shared" si="1"/>
        <v/>
      </c>
      <c r="I7" s="48" t="str">
        <f t="shared" si="2"/>
        <v/>
      </c>
      <c r="J7" s="54"/>
      <c r="K7" s="60" t="str">
        <f t="shared" si="3"/>
        <v/>
      </c>
      <c r="L7" s="32" t="str">
        <f t="shared" si="4"/>
        <v/>
      </c>
      <c r="M7" s="32" t="str">
        <f t="shared" si="5"/>
        <v/>
      </c>
      <c r="N7" s="55"/>
      <c r="O7" s="66" t="str">
        <f t="shared" si="6"/>
        <v/>
      </c>
      <c r="P7" s="65"/>
      <c r="Q7" s="60" t="str">
        <f t="shared" si="7"/>
        <v/>
      </c>
      <c r="R7" s="32" t="str">
        <f t="shared" si="8"/>
        <v/>
      </c>
      <c r="S7" s="34" t="str">
        <f t="shared" si="9"/>
        <v/>
      </c>
      <c r="T7" s="32" t="str">
        <f t="shared" si="10"/>
        <v/>
      </c>
      <c r="U7" s="32" t="str">
        <f t="shared" si="11"/>
        <v/>
      </c>
      <c r="V7" s="32" t="str">
        <f t="shared" si="12"/>
        <v/>
      </c>
      <c r="W7" s="32" t="str">
        <f t="shared" si="13"/>
        <v/>
      </c>
      <c r="X7" s="32" t="str">
        <f t="shared" si="14"/>
        <v/>
      </c>
      <c r="Y7" s="32" t="str">
        <f t="shared" si="15"/>
        <v/>
      </c>
      <c r="Z7" s="32" t="str">
        <f t="shared" si="16"/>
        <v/>
      </c>
      <c r="AA7" s="32" t="str">
        <f t="shared" si="17"/>
        <v/>
      </c>
      <c r="AB7" s="32" t="str">
        <f t="shared" si="18"/>
        <v/>
      </c>
      <c r="AC7" s="35" t="str">
        <f t="shared" si="19"/>
        <v/>
      </c>
      <c r="AD7" s="32" t="str">
        <f t="shared" si="20"/>
        <v/>
      </c>
      <c r="AE7" s="32" t="str">
        <f t="shared" si="21"/>
        <v/>
      </c>
      <c r="AF7" s="32" t="str">
        <f t="shared" si="22"/>
        <v/>
      </c>
      <c r="AG7" s="32" t="str">
        <f t="shared" si="23"/>
        <v/>
      </c>
      <c r="AH7" s="32" t="str">
        <f t="shared" si="24"/>
        <v/>
      </c>
      <c r="AI7" s="32" t="str">
        <f t="shared" si="25"/>
        <v/>
      </c>
      <c r="AJ7" s="32" t="str">
        <f t="shared" si="26"/>
        <v/>
      </c>
      <c r="AK7" s="61" t="str">
        <f t="shared" si="27"/>
        <v/>
      </c>
      <c r="AL7" s="54"/>
      <c r="AM7" s="60" t="str">
        <f t="shared" si="28"/>
        <v/>
      </c>
      <c r="AN7" s="38"/>
      <c r="AO7" s="32" t="str">
        <f t="shared" si="29"/>
        <v/>
      </c>
      <c r="AP7" s="32" t="str">
        <f t="shared" si="30"/>
        <v/>
      </c>
      <c r="AQ7" s="32" t="str">
        <f t="shared" si="31"/>
        <v/>
      </c>
      <c r="AR7" s="32" t="str">
        <f t="shared" si="32"/>
        <v/>
      </c>
      <c r="AS7" s="32" t="str">
        <f t="shared" si="33"/>
        <v/>
      </c>
      <c r="AT7" s="32" t="str">
        <f t="shared" si="34"/>
        <v/>
      </c>
      <c r="AU7" s="32" t="str">
        <f t="shared" si="35"/>
        <v/>
      </c>
      <c r="AV7" s="32" t="str">
        <f t="shared" si="36"/>
        <v/>
      </c>
      <c r="AW7" s="32" t="str">
        <f t="shared" si="37"/>
        <v/>
      </c>
      <c r="AX7" s="32" t="str">
        <f t="shared" si="38"/>
        <v/>
      </c>
      <c r="AY7" s="32" t="str">
        <f t="shared" si="39"/>
        <v/>
      </c>
      <c r="AZ7" s="32" t="str">
        <f t="shared" si="40"/>
        <v/>
      </c>
      <c r="BA7" s="32" t="str">
        <f t="shared" si="41"/>
        <v/>
      </c>
      <c r="BB7" s="70"/>
      <c r="BC7" s="71" t="str">
        <f t="shared" si="42"/>
        <v/>
      </c>
      <c r="BD7" s="55"/>
      <c r="BE7" s="62" t="str">
        <f t="shared" si="43"/>
        <v/>
      </c>
      <c r="BF7" s="35" t="str">
        <f t="shared" si="44"/>
        <v/>
      </c>
      <c r="BG7" s="38"/>
      <c r="BH7" s="35" t="str">
        <f t="shared" si="45"/>
        <v/>
      </c>
      <c r="BI7" s="35" t="str">
        <f t="shared" si="46"/>
        <v/>
      </c>
      <c r="BJ7" s="38"/>
      <c r="BK7" s="35" t="str">
        <f t="shared" si="47"/>
        <v/>
      </c>
      <c r="BL7" s="35" t="str">
        <f t="shared" si="48"/>
        <v/>
      </c>
      <c r="BM7" s="38"/>
      <c r="BN7" s="35" t="str">
        <f t="shared" si="49"/>
        <v/>
      </c>
      <c r="BO7" s="35" t="str">
        <f t="shared" si="50"/>
        <v/>
      </c>
      <c r="BP7" s="32" t="str">
        <f t="shared" si="51"/>
        <v/>
      </c>
      <c r="BQ7" s="35" t="str">
        <f t="shared" si="52"/>
        <v/>
      </c>
      <c r="BR7" s="37" t="str">
        <f t="shared" si="53"/>
        <v/>
      </c>
      <c r="BS7" s="1"/>
    </row>
    <row r="8" spans="2:71" ht="70.5" customHeight="1" x14ac:dyDescent="0.25">
      <c r="B8" s="63"/>
      <c r="C8" s="64" t="str">
        <f>IFERROR(VLOOKUP(B8,Table_PrewrittenCode[#All],2,0),"")</f>
        <v/>
      </c>
      <c r="D8" s="32" t="str">
        <f>IFERROR(VLOOKUP(B8,Table_PrewrittenCode[#All],3,0),"")</f>
        <v/>
      </c>
      <c r="E8" s="54"/>
      <c r="F8" s="58" t="str">
        <f t="shared" si="0"/>
        <v/>
      </c>
      <c r="G8" s="54"/>
      <c r="H8" s="59" t="str">
        <f t="shared" si="1"/>
        <v/>
      </c>
      <c r="I8" s="48" t="str">
        <f t="shared" si="2"/>
        <v/>
      </c>
      <c r="J8" s="54"/>
      <c r="K8" s="60" t="str">
        <f t="shared" si="3"/>
        <v/>
      </c>
      <c r="L8" s="32" t="str">
        <f t="shared" si="4"/>
        <v/>
      </c>
      <c r="M8" s="32" t="str">
        <f t="shared" si="5"/>
        <v/>
      </c>
      <c r="N8" s="55"/>
      <c r="O8" s="66" t="str">
        <f t="shared" si="6"/>
        <v/>
      </c>
      <c r="P8" s="65"/>
      <c r="Q8" s="60" t="str">
        <f t="shared" si="7"/>
        <v/>
      </c>
      <c r="R8" s="32" t="str">
        <f t="shared" si="8"/>
        <v/>
      </c>
      <c r="S8" s="34" t="str">
        <f t="shared" si="9"/>
        <v/>
      </c>
      <c r="T8" s="32" t="str">
        <f t="shared" si="10"/>
        <v/>
      </c>
      <c r="U8" s="32" t="str">
        <f t="shared" si="11"/>
        <v/>
      </c>
      <c r="V8" s="32" t="str">
        <f t="shared" si="12"/>
        <v/>
      </c>
      <c r="W8" s="32" t="str">
        <f t="shared" si="13"/>
        <v/>
      </c>
      <c r="X8" s="32" t="str">
        <f t="shared" si="14"/>
        <v/>
      </c>
      <c r="Y8" s="32" t="str">
        <f t="shared" si="15"/>
        <v/>
      </c>
      <c r="Z8" s="32" t="str">
        <f t="shared" si="16"/>
        <v/>
      </c>
      <c r="AA8" s="32" t="str">
        <f t="shared" si="17"/>
        <v/>
      </c>
      <c r="AB8" s="32" t="str">
        <f t="shared" si="18"/>
        <v/>
      </c>
      <c r="AC8" s="35" t="str">
        <f t="shared" si="19"/>
        <v/>
      </c>
      <c r="AD8" s="32" t="str">
        <f t="shared" si="20"/>
        <v/>
      </c>
      <c r="AE8" s="32" t="str">
        <f t="shared" si="21"/>
        <v/>
      </c>
      <c r="AF8" s="32" t="str">
        <f t="shared" si="22"/>
        <v/>
      </c>
      <c r="AG8" s="32" t="str">
        <f t="shared" si="23"/>
        <v/>
      </c>
      <c r="AH8" s="32" t="str">
        <f t="shared" si="24"/>
        <v/>
      </c>
      <c r="AI8" s="32" t="str">
        <f t="shared" si="25"/>
        <v/>
      </c>
      <c r="AJ8" s="32" t="str">
        <f t="shared" si="26"/>
        <v/>
      </c>
      <c r="AK8" s="61" t="str">
        <f t="shared" si="27"/>
        <v/>
      </c>
      <c r="AL8" s="54"/>
      <c r="AM8" s="60" t="str">
        <f t="shared" si="28"/>
        <v/>
      </c>
      <c r="AN8" s="38"/>
      <c r="AO8" s="32" t="str">
        <f t="shared" si="29"/>
        <v/>
      </c>
      <c r="AP8" s="32" t="str">
        <f t="shared" si="30"/>
        <v/>
      </c>
      <c r="AQ8" s="32" t="str">
        <f t="shared" si="31"/>
        <v/>
      </c>
      <c r="AR8" s="32" t="str">
        <f t="shared" si="32"/>
        <v/>
      </c>
      <c r="AS8" s="32" t="str">
        <f t="shared" si="33"/>
        <v/>
      </c>
      <c r="AT8" s="32" t="str">
        <f t="shared" si="34"/>
        <v/>
      </c>
      <c r="AU8" s="32" t="str">
        <f t="shared" si="35"/>
        <v/>
      </c>
      <c r="AV8" s="32" t="str">
        <f t="shared" si="36"/>
        <v/>
      </c>
      <c r="AW8" s="32" t="str">
        <f t="shared" si="37"/>
        <v/>
      </c>
      <c r="AX8" s="32" t="str">
        <f t="shared" si="38"/>
        <v/>
      </c>
      <c r="AY8" s="32" t="str">
        <f t="shared" si="39"/>
        <v/>
      </c>
      <c r="AZ8" s="32" t="str">
        <f t="shared" si="40"/>
        <v/>
      </c>
      <c r="BA8" s="32" t="str">
        <f t="shared" si="41"/>
        <v/>
      </c>
      <c r="BB8" s="70"/>
      <c r="BC8" s="71" t="str">
        <f t="shared" si="42"/>
        <v/>
      </c>
      <c r="BD8" s="55"/>
      <c r="BE8" s="62" t="str">
        <f t="shared" si="43"/>
        <v/>
      </c>
      <c r="BF8" s="35" t="str">
        <f t="shared" si="44"/>
        <v/>
      </c>
      <c r="BG8" s="38"/>
      <c r="BH8" s="35" t="str">
        <f t="shared" si="45"/>
        <v/>
      </c>
      <c r="BI8" s="35" t="str">
        <f t="shared" si="46"/>
        <v/>
      </c>
      <c r="BJ8" s="38"/>
      <c r="BK8" s="35" t="str">
        <f t="shared" si="47"/>
        <v/>
      </c>
      <c r="BL8" s="35" t="str">
        <f t="shared" si="48"/>
        <v/>
      </c>
      <c r="BM8" s="38"/>
      <c r="BN8" s="35" t="str">
        <f t="shared" si="49"/>
        <v/>
      </c>
      <c r="BO8" s="35" t="str">
        <f t="shared" si="50"/>
        <v/>
      </c>
      <c r="BP8" s="32" t="str">
        <f t="shared" si="51"/>
        <v/>
      </c>
      <c r="BQ8" s="35" t="str">
        <f t="shared" si="52"/>
        <v/>
      </c>
      <c r="BR8" s="37" t="str">
        <f t="shared" si="53"/>
        <v/>
      </c>
      <c r="BS8" s="1"/>
    </row>
    <row r="9" spans="2:71" ht="70.5" customHeight="1" x14ac:dyDescent="0.25">
      <c r="B9" s="63"/>
      <c r="C9" s="64" t="str">
        <f>IFERROR(VLOOKUP(B9,Table_PrewrittenCode[#All],2,0),"")</f>
        <v/>
      </c>
      <c r="D9" s="32" t="str">
        <f>IFERROR(VLOOKUP(B9,Table_PrewrittenCode[#All],3,0),"")</f>
        <v/>
      </c>
      <c r="E9" s="54"/>
      <c r="F9" s="58" t="str">
        <f t="shared" si="0"/>
        <v/>
      </c>
      <c r="G9" s="54"/>
      <c r="H9" s="59" t="str">
        <f t="shared" si="1"/>
        <v/>
      </c>
      <c r="I9" s="48" t="str">
        <f t="shared" si="2"/>
        <v/>
      </c>
      <c r="J9" s="54"/>
      <c r="K9" s="60" t="str">
        <f t="shared" si="3"/>
        <v/>
      </c>
      <c r="L9" s="32" t="str">
        <f t="shared" si="4"/>
        <v/>
      </c>
      <c r="M9" s="32" t="str">
        <f t="shared" si="5"/>
        <v/>
      </c>
      <c r="N9" s="55"/>
      <c r="O9" s="66" t="str">
        <f t="shared" si="6"/>
        <v/>
      </c>
      <c r="P9" s="65"/>
      <c r="Q9" s="60" t="str">
        <f t="shared" si="7"/>
        <v/>
      </c>
      <c r="R9" s="32" t="str">
        <f t="shared" si="8"/>
        <v/>
      </c>
      <c r="S9" s="34" t="str">
        <f t="shared" si="9"/>
        <v/>
      </c>
      <c r="T9" s="32" t="str">
        <f t="shared" si="10"/>
        <v/>
      </c>
      <c r="U9" s="32" t="str">
        <f t="shared" si="11"/>
        <v/>
      </c>
      <c r="V9" s="32" t="str">
        <f t="shared" si="12"/>
        <v/>
      </c>
      <c r="W9" s="32" t="str">
        <f t="shared" si="13"/>
        <v/>
      </c>
      <c r="X9" s="32" t="str">
        <f t="shared" si="14"/>
        <v/>
      </c>
      <c r="Y9" s="32" t="str">
        <f t="shared" si="15"/>
        <v/>
      </c>
      <c r="Z9" s="32" t="str">
        <f t="shared" si="16"/>
        <v/>
      </c>
      <c r="AA9" s="32" t="str">
        <f t="shared" si="17"/>
        <v/>
      </c>
      <c r="AB9" s="32" t="str">
        <f t="shared" si="18"/>
        <v/>
      </c>
      <c r="AC9" s="35" t="str">
        <f t="shared" si="19"/>
        <v/>
      </c>
      <c r="AD9" s="32" t="str">
        <f t="shared" si="20"/>
        <v/>
      </c>
      <c r="AE9" s="32" t="str">
        <f t="shared" si="21"/>
        <v/>
      </c>
      <c r="AF9" s="32" t="str">
        <f t="shared" si="22"/>
        <v/>
      </c>
      <c r="AG9" s="32" t="str">
        <f t="shared" si="23"/>
        <v/>
      </c>
      <c r="AH9" s="32" t="str">
        <f t="shared" si="24"/>
        <v/>
      </c>
      <c r="AI9" s="32" t="str">
        <f t="shared" si="25"/>
        <v/>
      </c>
      <c r="AJ9" s="32" t="str">
        <f t="shared" si="26"/>
        <v/>
      </c>
      <c r="AK9" s="61" t="str">
        <f t="shared" si="27"/>
        <v/>
      </c>
      <c r="AL9" s="54"/>
      <c r="AM9" s="60" t="str">
        <f t="shared" si="28"/>
        <v/>
      </c>
      <c r="AN9" s="38"/>
      <c r="AO9" s="32" t="str">
        <f t="shared" si="29"/>
        <v/>
      </c>
      <c r="AP9" s="32" t="str">
        <f t="shared" si="30"/>
        <v/>
      </c>
      <c r="AQ9" s="32" t="str">
        <f t="shared" si="31"/>
        <v/>
      </c>
      <c r="AR9" s="32" t="str">
        <f t="shared" si="32"/>
        <v/>
      </c>
      <c r="AS9" s="32" t="str">
        <f t="shared" si="33"/>
        <v/>
      </c>
      <c r="AT9" s="32" t="str">
        <f t="shared" si="34"/>
        <v/>
      </c>
      <c r="AU9" s="32" t="str">
        <f t="shared" si="35"/>
        <v/>
      </c>
      <c r="AV9" s="32" t="str">
        <f t="shared" si="36"/>
        <v/>
      </c>
      <c r="AW9" s="32" t="str">
        <f t="shared" si="37"/>
        <v/>
      </c>
      <c r="AX9" s="32" t="str">
        <f t="shared" si="38"/>
        <v/>
      </c>
      <c r="AY9" s="32" t="str">
        <f t="shared" si="39"/>
        <v/>
      </c>
      <c r="AZ9" s="32" t="str">
        <f t="shared" si="40"/>
        <v/>
      </c>
      <c r="BA9" s="32" t="str">
        <f t="shared" si="41"/>
        <v/>
      </c>
      <c r="BB9" s="70"/>
      <c r="BC9" s="71" t="str">
        <f t="shared" si="42"/>
        <v/>
      </c>
      <c r="BD9" s="55"/>
      <c r="BE9" s="62" t="str">
        <f t="shared" si="43"/>
        <v/>
      </c>
      <c r="BF9" s="35" t="str">
        <f t="shared" si="44"/>
        <v/>
      </c>
      <c r="BG9" s="38"/>
      <c r="BH9" s="35" t="str">
        <f t="shared" si="45"/>
        <v/>
      </c>
      <c r="BI9" s="35" t="str">
        <f t="shared" si="46"/>
        <v/>
      </c>
      <c r="BJ9" s="38"/>
      <c r="BK9" s="35" t="str">
        <f t="shared" si="47"/>
        <v/>
      </c>
      <c r="BL9" s="35" t="str">
        <f t="shared" si="48"/>
        <v/>
      </c>
      <c r="BM9" s="38"/>
      <c r="BN9" s="35" t="str">
        <f t="shared" si="49"/>
        <v/>
      </c>
      <c r="BO9" s="35" t="str">
        <f t="shared" si="50"/>
        <v/>
      </c>
      <c r="BP9" s="32" t="str">
        <f t="shared" si="51"/>
        <v/>
      </c>
      <c r="BQ9" s="35" t="str">
        <f t="shared" si="52"/>
        <v/>
      </c>
      <c r="BR9" s="37" t="str">
        <f t="shared" si="53"/>
        <v/>
      </c>
      <c r="BS9" s="1"/>
    </row>
    <row r="10" spans="2:71" ht="70.5" customHeight="1" x14ac:dyDescent="0.25">
      <c r="B10" s="63"/>
      <c r="C10" s="64" t="str">
        <f>IFERROR(VLOOKUP(B10,Table_PrewrittenCode[#All],2,0),"")</f>
        <v/>
      </c>
      <c r="D10" s="32" t="str">
        <f>IFERROR(VLOOKUP(B10,Table_PrewrittenCode[#All],3,0),"")</f>
        <v/>
      </c>
      <c r="E10" s="54"/>
      <c r="F10" s="58" t="str">
        <f t="shared" si="0"/>
        <v/>
      </c>
      <c r="G10" s="54"/>
      <c r="H10" s="59" t="str">
        <f t="shared" si="1"/>
        <v/>
      </c>
      <c r="I10" s="48" t="str">
        <f t="shared" si="2"/>
        <v/>
      </c>
      <c r="J10" s="54"/>
      <c r="K10" s="60" t="str">
        <f t="shared" si="3"/>
        <v/>
      </c>
      <c r="L10" s="32" t="str">
        <f t="shared" si="4"/>
        <v/>
      </c>
      <c r="M10" s="32" t="str">
        <f t="shared" si="5"/>
        <v/>
      </c>
      <c r="N10" s="55"/>
      <c r="O10" s="66" t="str">
        <f t="shared" si="6"/>
        <v/>
      </c>
      <c r="P10" s="65"/>
      <c r="Q10" s="60" t="str">
        <f t="shared" si="7"/>
        <v/>
      </c>
      <c r="R10" s="32" t="str">
        <f t="shared" si="8"/>
        <v/>
      </c>
      <c r="S10" s="34" t="str">
        <f t="shared" si="9"/>
        <v/>
      </c>
      <c r="T10" s="32" t="str">
        <f t="shared" si="10"/>
        <v/>
      </c>
      <c r="U10" s="32" t="str">
        <f t="shared" si="11"/>
        <v/>
      </c>
      <c r="V10" s="32" t="str">
        <f t="shared" si="12"/>
        <v/>
      </c>
      <c r="W10" s="32" t="str">
        <f t="shared" si="13"/>
        <v/>
      </c>
      <c r="X10" s="32" t="str">
        <f t="shared" si="14"/>
        <v/>
      </c>
      <c r="Y10" s="32" t="str">
        <f t="shared" si="15"/>
        <v/>
      </c>
      <c r="Z10" s="32" t="str">
        <f t="shared" si="16"/>
        <v/>
      </c>
      <c r="AA10" s="32" t="str">
        <f t="shared" si="17"/>
        <v/>
      </c>
      <c r="AB10" s="32" t="str">
        <f t="shared" si="18"/>
        <v/>
      </c>
      <c r="AC10" s="35" t="str">
        <f t="shared" si="19"/>
        <v/>
      </c>
      <c r="AD10" s="32" t="str">
        <f t="shared" si="20"/>
        <v/>
      </c>
      <c r="AE10" s="32" t="str">
        <f t="shared" si="21"/>
        <v/>
      </c>
      <c r="AF10" s="32" t="str">
        <f t="shared" si="22"/>
        <v/>
      </c>
      <c r="AG10" s="32" t="str">
        <f t="shared" si="23"/>
        <v/>
      </c>
      <c r="AH10" s="32" t="str">
        <f t="shared" si="24"/>
        <v/>
      </c>
      <c r="AI10" s="32" t="str">
        <f t="shared" si="25"/>
        <v/>
      </c>
      <c r="AJ10" s="32" t="str">
        <f t="shared" si="26"/>
        <v/>
      </c>
      <c r="AK10" s="61" t="str">
        <f t="shared" si="27"/>
        <v/>
      </c>
      <c r="AL10" s="54"/>
      <c r="AM10" s="60" t="str">
        <f t="shared" si="28"/>
        <v/>
      </c>
      <c r="AN10" s="38"/>
      <c r="AO10" s="32" t="str">
        <f t="shared" si="29"/>
        <v/>
      </c>
      <c r="AP10" s="32" t="str">
        <f t="shared" si="30"/>
        <v/>
      </c>
      <c r="AQ10" s="32" t="str">
        <f t="shared" si="31"/>
        <v/>
      </c>
      <c r="AR10" s="32" t="str">
        <f t="shared" si="32"/>
        <v/>
      </c>
      <c r="AS10" s="32" t="str">
        <f t="shared" si="33"/>
        <v/>
      </c>
      <c r="AT10" s="32" t="str">
        <f t="shared" si="34"/>
        <v/>
      </c>
      <c r="AU10" s="32" t="str">
        <f t="shared" si="35"/>
        <v/>
      </c>
      <c r="AV10" s="32" t="str">
        <f t="shared" si="36"/>
        <v/>
      </c>
      <c r="AW10" s="32" t="str">
        <f t="shared" si="37"/>
        <v/>
      </c>
      <c r="AX10" s="32" t="str">
        <f t="shared" si="38"/>
        <v/>
      </c>
      <c r="AY10" s="32" t="str">
        <f t="shared" si="39"/>
        <v/>
      </c>
      <c r="AZ10" s="32" t="str">
        <f t="shared" si="40"/>
        <v/>
      </c>
      <c r="BA10" s="32" t="str">
        <f t="shared" si="41"/>
        <v/>
      </c>
      <c r="BB10" s="70"/>
      <c r="BC10" s="71" t="str">
        <f t="shared" si="42"/>
        <v/>
      </c>
      <c r="BD10" s="55"/>
      <c r="BE10" s="62" t="str">
        <f t="shared" si="43"/>
        <v/>
      </c>
      <c r="BF10" s="35" t="str">
        <f t="shared" si="44"/>
        <v/>
      </c>
      <c r="BG10" s="38"/>
      <c r="BH10" s="35" t="str">
        <f t="shared" si="45"/>
        <v/>
      </c>
      <c r="BI10" s="35" t="str">
        <f t="shared" si="46"/>
        <v/>
      </c>
      <c r="BJ10" s="38"/>
      <c r="BK10" s="35" t="str">
        <f t="shared" si="47"/>
        <v/>
      </c>
      <c r="BL10" s="35" t="str">
        <f t="shared" si="48"/>
        <v/>
      </c>
      <c r="BM10" s="38"/>
      <c r="BN10" s="35" t="str">
        <f t="shared" si="49"/>
        <v/>
      </c>
      <c r="BO10" s="35" t="str">
        <f t="shared" si="50"/>
        <v/>
      </c>
      <c r="BP10" s="32" t="str">
        <f t="shared" si="51"/>
        <v/>
      </c>
      <c r="BQ10" s="35" t="str">
        <f t="shared" si="52"/>
        <v/>
      </c>
      <c r="BR10" s="37" t="str">
        <f t="shared" si="53"/>
        <v/>
      </c>
      <c r="BS10" s="1"/>
    </row>
    <row r="11" spans="2:71" ht="70.5" customHeight="1" x14ac:dyDescent="0.25">
      <c r="B11" s="63"/>
      <c r="C11" s="64" t="str">
        <f>IFERROR(VLOOKUP(B11,Table_PrewrittenCode[#All],2,0),"")</f>
        <v/>
      </c>
      <c r="D11" s="32" t="str">
        <f>IFERROR(VLOOKUP(B11,Table_PrewrittenCode[#All],3,0),"")</f>
        <v/>
      </c>
      <c r="E11" s="54"/>
      <c r="F11" s="58" t="str">
        <f t="shared" si="0"/>
        <v/>
      </c>
      <c r="G11" s="54"/>
      <c r="H11" s="59" t="str">
        <f t="shared" si="1"/>
        <v/>
      </c>
      <c r="I11" s="48" t="str">
        <f t="shared" si="2"/>
        <v/>
      </c>
      <c r="J11" s="54"/>
      <c r="K11" s="60" t="str">
        <f t="shared" si="3"/>
        <v/>
      </c>
      <c r="L11" s="32" t="str">
        <f t="shared" si="4"/>
        <v/>
      </c>
      <c r="M11" s="32" t="str">
        <f t="shared" si="5"/>
        <v/>
      </c>
      <c r="N11" s="55"/>
      <c r="O11" s="66" t="str">
        <f t="shared" si="6"/>
        <v/>
      </c>
      <c r="P11" s="65"/>
      <c r="Q11" s="60" t="str">
        <f t="shared" si="7"/>
        <v/>
      </c>
      <c r="R11" s="32" t="str">
        <f t="shared" si="8"/>
        <v/>
      </c>
      <c r="S11" s="34" t="str">
        <f t="shared" si="9"/>
        <v/>
      </c>
      <c r="T11" s="32" t="str">
        <f t="shared" si="10"/>
        <v/>
      </c>
      <c r="U11" s="32" t="str">
        <f t="shared" si="11"/>
        <v/>
      </c>
      <c r="V11" s="32" t="str">
        <f t="shared" si="12"/>
        <v/>
      </c>
      <c r="W11" s="32" t="str">
        <f t="shared" si="13"/>
        <v/>
      </c>
      <c r="X11" s="32" t="str">
        <f t="shared" si="14"/>
        <v/>
      </c>
      <c r="Y11" s="32" t="str">
        <f t="shared" si="15"/>
        <v/>
      </c>
      <c r="Z11" s="32" t="str">
        <f t="shared" si="16"/>
        <v/>
      </c>
      <c r="AA11" s="32" t="str">
        <f t="shared" si="17"/>
        <v/>
      </c>
      <c r="AB11" s="32" t="str">
        <f t="shared" si="18"/>
        <v/>
      </c>
      <c r="AC11" s="35" t="str">
        <f t="shared" si="19"/>
        <v/>
      </c>
      <c r="AD11" s="32" t="str">
        <f t="shared" si="20"/>
        <v/>
      </c>
      <c r="AE11" s="32" t="str">
        <f t="shared" si="21"/>
        <v/>
      </c>
      <c r="AF11" s="32" t="str">
        <f t="shared" si="22"/>
        <v/>
      </c>
      <c r="AG11" s="32" t="str">
        <f t="shared" si="23"/>
        <v/>
      </c>
      <c r="AH11" s="32" t="str">
        <f t="shared" si="24"/>
        <v/>
      </c>
      <c r="AI11" s="32" t="str">
        <f t="shared" si="25"/>
        <v/>
      </c>
      <c r="AJ11" s="32" t="str">
        <f t="shared" si="26"/>
        <v/>
      </c>
      <c r="AK11" s="61" t="str">
        <f t="shared" si="27"/>
        <v/>
      </c>
      <c r="AL11" s="54"/>
      <c r="AM11" s="60" t="str">
        <f t="shared" si="28"/>
        <v/>
      </c>
      <c r="AN11" s="38"/>
      <c r="AO11" s="32" t="str">
        <f t="shared" si="29"/>
        <v/>
      </c>
      <c r="AP11" s="32" t="str">
        <f t="shared" si="30"/>
        <v/>
      </c>
      <c r="AQ11" s="32" t="str">
        <f t="shared" si="31"/>
        <v/>
      </c>
      <c r="AR11" s="32" t="str">
        <f t="shared" si="32"/>
        <v/>
      </c>
      <c r="AS11" s="32" t="str">
        <f t="shared" si="33"/>
        <v/>
      </c>
      <c r="AT11" s="32" t="str">
        <f t="shared" si="34"/>
        <v/>
      </c>
      <c r="AU11" s="32" t="str">
        <f t="shared" si="35"/>
        <v/>
      </c>
      <c r="AV11" s="32" t="str">
        <f t="shared" si="36"/>
        <v/>
      </c>
      <c r="AW11" s="32" t="str">
        <f t="shared" si="37"/>
        <v/>
      </c>
      <c r="AX11" s="32" t="str">
        <f t="shared" si="38"/>
        <v/>
      </c>
      <c r="AY11" s="32" t="str">
        <f t="shared" si="39"/>
        <v/>
      </c>
      <c r="AZ11" s="32" t="str">
        <f t="shared" si="40"/>
        <v/>
      </c>
      <c r="BA11" s="32" t="str">
        <f t="shared" si="41"/>
        <v/>
      </c>
      <c r="BB11" s="70"/>
      <c r="BC11" s="71" t="str">
        <f t="shared" si="42"/>
        <v/>
      </c>
      <c r="BD11" s="55"/>
      <c r="BE11" s="62" t="str">
        <f t="shared" si="43"/>
        <v/>
      </c>
      <c r="BF11" s="35" t="str">
        <f t="shared" si="44"/>
        <v/>
      </c>
      <c r="BG11" s="38"/>
      <c r="BH11" s="35" t="str">
        <f t="shared" si="45"/>
        <v/>
      </c>
      <c r="BI11" s="35" t="str">
        <f t="shared" si="46"/>
        <v/>
      </c>
      <c r="BJ11" s="38"/>
      <c r="BK11" s="35" t="str">
        <f t="shared" si="47"/>
        <v/>
      </c>
      <c r="BL11" s="35" t="str">
        <f t="shared" si="48"/>
        <v/>
      </c>
      <c r="BM11" s="38"/>
      <c r="BN11" s="35" t="str">
        <f t="shared" si="49"/>
        <v/>
      </c>
      <c r="BO11" s="35" t="str">
        <f t="shared" si="50"/>
        <v/>
      </c>
      <c r="BP11" s="32" t="str">
        <f t="shared" si="51"/>
        <v/>
      </c>
      <c r="BQ11" s="35" t="str">
        <f t="shared" si="52"/>
        <v/>
      </c>
      <c r="BR11" s="37" t="str">
        <f t="shared" si="53"/>
        <v/>
      </c>
      <c r="BS11" s="1"/>
    </row>
    <row r="12" spans="2:71" ht="70.5" customHeight="1" x14ac:dyDescent="0.25">
      <c r="B12" s="63"/>
      <c r="C12" s="64" t="str">
        <f>IFERROR(VLOOKUP(B12,Table_PrewrittenCode[#All],2,0),"")</f>
        <v/>
      </c>
      <c r="D12" s="32" t="str">
        <f>IFERROR(VLOOKUP(B12,Table_PrewrittenCode[#All],3,0),"")</f>
        <v/>
      </c>
      <c r="E12" s="54"/>
      <c r="F12" s="58" t="str">
        <f t="shared" si="0"/>
        <v/>
      </c>
      <c r="G12" s="54"/>
      <c r="H12" s="59" t="str">
        <f t="shared" si="1"/>
        <v/>
      </c>
      <c r="I12" s="48" t="str">
        <f t="shared" si="2"/>
        <v/>
      </c>
      <c r="J12" s="54"/>
      <c r="K12" s="60" t="str">
        <f t="shared" si="3"/>
        <v/>
      </c>
      <c r="L12" s="32" t="str">
        <f t="shared" si="4"/>
        <v/>
      </c>
      <c r="M12" s="32" t="str">
        <f t="shared" si="5"/>
        <v/>
      </c>
      <c r="N12" s="55"/>
      <c r="O12" s="66" t="str">
        <f t="shared" si="6"/>
        <v/>
      </c>
      <c r="P12" s="65"/>
      <c r="Q12" s="60" t="str">
        <f t="shared" si="7"/>
        <v/>
      </c>
      <c r="R12" s="32" t="str">
        <f t="shared" si="8"/>
        <v/>
      </c>
      <c r="S12" s="34" t="str">
        <f t="shared" si="9"/>
        <v/>
      </c>
      <c r="T12" s="32" t="str">
        <f t="shared" si="10"/>
        <v/>
      </c>
      <c r="U12" s="32" t="str">
        <f t="shared" si="11"/>
        <v/>
      </c>
      <c r="V12" s="32" t="str">
        <f t="shared" si="12"/>
        <v/>
      </c>
      <c r="W12" s="32" t="str">
        <f t="shared" si="13"/>
        <v/>
      </c>
      <c r="X12" s="32" t="str">
        <f t="shared" si="14"/>
        <v/>
      </c>
      <c r="Y12" s="32" t="str">
        <f t="shared" si="15"/>
        <v/>
      </c>
      <c r="Z12" s="32" t="str">
        <f t="shared" si="16"/>
        <v/>
      </c>
      <c r="AA12" s="32" t="str">
        <f t="shared" si="17"/>
        <v/>
      </c>
      <c r="AB12" s="32" t="str">
        <f t="shared" si="18"/>
        <v/>
      </c>
      <c r="AC12" s="35" t="str">
        <f t="shared" si="19"/>
        <v/>
      </c>
      <c r="AD12" s="32" t="str">
        <f t="shared" si="20"/>
        <v/>
      </c>
      <c r="AE12" s="32" t="str">
        <f t="shared" si="21"/>
        <v/>
      </c>
      <c r="AF12" s="32" t="str">
        <f t="shared" si="22"/>
        <v/>
      </c>
      <c r="AG12" s="32" t="str">
        <f t="shared" si="23"/>
        <v/>
      </c>
      <c r="AH12" s="32" t="str">
        <f t="shared" si="24"/>
        <v/>
      </c>
      <c r="AI12" s="32" t="str">
        <f t="shared" si="25"/>
        <v/>
      </c>
      <c r="AJ12" s="32" t="str">
        <f t="shared" si="26"/>
        <v/>
      </c>
      <c r="AK12" s="61" t="str">
        <f t="shared" si="27"/>
        <v/>
      </c>
      <c r="AL12" s="54"/>
      <c r="AM12" s="60" t="str">
        <f t="shared" si="28"/>
        <v/>
      </c>
      <c r="AN12" s="38"/>
      <c r="AO12" s="32" t="str">
        <f t="shared" si="29"/>
        <v/>
      </c>
      <c r="AP12" s="32" t="str">
        <f t="shared" si="30"/>
        <v/>
      </c>
      <c r="AQ12" s="32" t="str">
        <f t="shared" si="31"/>
        <v/>
      </c>
      <c r="AR12" s="32" t="str">
        <f t="shared" si="32"/>
        <v/>
      </c>
      <c r="AS12" s="32" t="str">
        <f t="shared" si="33"/>
        <v/>
      </c>
      <c r="AT12" s="32" t="str">
        <f t="shared" si="34"/>
        <v/>
      </c>
      <c r="AU12" s="32" t="str">
        <f t="shared" si="35"/>
        <v/>
      </c>
      <c r="AV12" s="32" t="str">
        <f t="shared" si="36"/>
        <v/>
      </c>
      <c r="AW12" s="32" t="str">
        <f t="shared" si="37"/>
        <v/>
      </c>
      <c r="AX12" s="32" t="str">
        <f t="shared" si="38"/>
        <v/>
      </c>
      <c r="AY12" s="32" t="str">
        <f t="shared" si="39"/>
        <v/>
      </c>
      <c r="AZ12" s="32" t="str">
        <f t="shared" si="40"/>
        <v/>
      </c>
      <c r="BA12" s="32" t="str">
        <f t="shared" si="41"/>
        <v/>
      </c>
      <c r="BB12" s="70"/>
      <c r="BC12" s="71" t="str">
        <f t="shared" si="42"/>
        <v/>
      </c>
      <c r="BD12" s="55"/>
      <c r="BE12" s="62" t="str">
        <f t="shared" si="43"/>
        <v/>
      </c>
      <c r="BF12" s="35" t="str">
        <f t="shared" si="44"/>
        <v/>
      </c>
      <c r="BG12" s="38"/>
      <c r="BH12" s="35" t="str">
        <f t="shared" si="45"/>
        <v/>
      </c>
      <c r="BI12" s="35" t="str">
        <f t="shared" si="46"/>
        <v/>
      </c>
      <c r="BJ12" s="38"/>
      <c r="BK12" s="35" t="str">
        <f t="shared" si="47"/>
        <v/>
      </c>
      <c r="BL12" s="35" t="str">
        <f t="shared" si="48"/>
        <v/>
      </c>
      <c r="BM12" s="38"/>
      <c r="BN12" s="35" t="str">
        <f t="shared" si="49"/>
        <v/>
      </c>
      <c r="BO12" s="35" t="str">
        <f t="shared" si="50"/>
        <v/>
      </c>
      <c r="BP12" s="32" t="str">
        <f t="shared" si="51"/>
        <v/>
      </c>
      <c r="BQ12" s="35" t="str">
        <f t="shared" si="52"/>
        <v/>
      </c>
      <c r="BR12" s="37" t="str">
        <f t="shared" si="53"/>
        <v/>
      </c>
      <c r="BS12" s="1"/>
    </row>
    <row r="13" spans="2:71" ht="70.5" customHeight="1" x14ac:dyDescent="0.25">
      <c r="B13" s="63"/>
      <c r="C13" s="64" t="str">
        <f>IFERROR(VLOOKUP(B13,Table_PrewrittenCode[#All],2,0),"")</f>
        <v/>
      </c>
      <c r="D13" s="32" t="str">
        <f>IFERROR(VLOOKUP(B13,Table_PrewrittenCode[#All],3,0),"")</f>
        <v/>
      </c>
      <c r="E13" s="54"/>
      <c r="F13" s="58" t="str">
        <f t="shared" si="0"/>
        <v/>
      </c>
      <c r="G13" s="54"/>
      <c r="H13" s="59" t="str">
        <f t="shared" si="1"/>
        <v/>
      </c>
      <c r="I13" s="48" t="str">
        <f t="shared" si="2"/>
        <v/>
      </c>
      <c r="J13" s="54"/>
      <c r="K13" s="60" t="str">
        <f t="shared" si="3"/>
        <v/>
      </c>
      <c r="L13" s="32" t="str">
        <f t="shared" si="4"/>
        <v/>
      </c>
      <c r="M13" s="32" t="str">
        <f t="shared" si="5"/>
        <v/>
      </c>
      <c r="N13" s="55"/>
      <c r="O13" s="66" t="str">
        <f t="shared" si="6"/>
        <v/>
      </c>
      <c r="P13" s="65"/>
      <c r="Q13" s="60" t="str">
        <f t="shared" si="7"/>
        <v/>
      </c>
      <c r="R13" s="32" t="str">
        <f t="shared" si="8"/>
        <v/>
      </c>
      <c r="S13" s="34" t="str">
        <f t="shared" si="9"/>
        <v/>
      </c>
      <c r="T13" s="32" t="str">
        <f t="shared" si="10"/>
        <v/>
      </c>
      <c r="U13" s="32" t="str">
        <f t="shared" si="11"/>
        <v/>
      </c>
      <c r="V13" s="32" t="str">
        <f t="shared" si="12"/>
        <v/>
      </c>
      <c r="W13" s="32" t="str">
        <f t="shared" si="13"/>
        <v/>
      </c>
      <c r="X13" s="32" t="str">
        <f t="shared" si="14"/>
        <v/>
      </c>
      <c r="Y13" s="32" t="str">
        <f t="shared" si="15"/>
        <v/>
      </c>
      <c r="Z13" s="32" t="str">
        <f t="shared" si="16"/>
        <v/>
      </c>
      <c r="AA13" s="32" t="str">
        <f t="shared" si="17"/>
        <v/>
      </c>
      <c r="AB13" s="32" t="str">
        <f t="shared" si="18"/>
        <v/>
      </c>
      <c r="AC13" s="35" t="str">
        <f t="shared" si="19"/>
        <v/>
      </c>
      <c r="AD13" s="32" t="str">
        <f t="shared" si="20"/>
        <v/>
      </c>
      <c r="AE13" s="32" t="str">
        <f t="shared" si="21"/>
        <v/>
      </c>
      <c r="AF13" s="32" t="str">
        <f t="shared" si="22"/>
        <v/>
      </c>
      <c r="AG13" s="32" t="str">
        <f t="shared" si="23"/>
        <v/>
      </c>
      <c r="AH13" s="32" t="str">
        <f t="shared" si="24"/>
        <v/>
      </c>
      <c r="AI13" s="32" t="str">
        <f t="shared" si="25"/>
        <v/>
      </c>
      <c r="AJ13" s="32" t="str">
        <f t="shared" si="26"/>
        <v/>
      </c>
      <c r="AK13" s="61" t="str">
        <f t="shared" si="27"/>
        <v/>
      </c>
      <c r="AL13" s="54"/>
      <c r="AM13" s="60" t="str">
        <f t="shared" si="28"/>
        <v/>
      </c>
      <c r="AN13" s="38"/>
      <c r="AO13" s="32" t="str">
        <f t="shared" si="29"/>
        <v/>
      </c>
      <c r="AP13" s="32" t="str">
        <f t="shared" si="30"/>
        <v/>
      </c>
      <c r="AQ13" s="32" t="str">
        <f t="shared" si="31"/>
        <v/>
      </c>
      <c r="AR13" s="32" t="str">
        <f t="shared" si="32"/>
        <v/>
      </c>
      <c r="AS13" s="32" t="str">
        <f t="shared" si="33"/>
        <v/>
      </c>
      <c r="AT13" s="32" t="str">
        <f t="shared" si="34"/>
        <v/>
      </c>
      <c r="AU13" s="32" t="str">
        <f t="shared" si="35"/>
        <v/>
      </c>
      <c r="AV13" s="32" t="str">
        <f t="shared" si="36"/>
        <v/>
      </c>
      <c r="AW13" s="32" t="str">
        <f t="shared" si="37"/>
        <v/>
      </c>
      <c r="AX13" s="32" t="str">
        <f t="shared" si="38"/>
        <v/>
      </c>
      <c r="AY13" s="32" t="str">
        <f t="shared" si="39"/>
        <v/>
      </c>
      <c r="AZ13" s="32" t="str">
        <f t="shared" si="40"/>
        <v/>
      </c>
      <c r="BA13" s="32" t="str">
        <f t="shared" si="41"/>
        <v/>
      </c>
      <c r="BB13" s="70"/>
      <c r="BC13" s="71" t="str">
        <f t="shared" si="42"/>
        <v/>
      </c>
      <c r="BD13" s="55"/>
      <c r="BE13" s="62" t="str">
        <f t="shared" si="43"/>
        <v/>
      </c>
      <c r="BF13" s="35" t="str">
        <f t="shared" si="44"/>
        <v/>
      </c>
      <c r="BG13" s="38"/>
      <c r="BH13" s="35" t="str">
        <f t="shared" si="45"/>
        <v/>
      </c>
      <c r="BI13" s="35" t="str">
        <f t="shared" si="46"/>
        <v/>
      </c>
      <c r="BJ13" s="38"/>
      <c r="BK13" s="35" t="str">
        <f t="shared" si="47"/>
        <v/>
      </c>
      <c r="BL13" s="35" t="str">
        <f t="shared" si="48"/>
        <v/>
      </c>
      <c r="BM13" s="38"/>
      <c r="BN13" s="35" t="str">
        <f t="shared" si="49"/>
        <v/>
      </c>
      <c r="BO13" s="35" t="str">
        <f t="shared" si="50"/>
        <v/>
      </c>
      <c r="BP13" s="32" t="str">
        <f t="shared" si="51"/>
        <v/>
      </c>
      <c r="BQ13" s="35" t="str">
        <f t="shared" si="52"/>
        <v/>
      </c>
      <c r="BR13" s="37" t="str">
        <f t="shared" si="53"/>
        <v/>
      </c>
      <c r="BS13" s="1"/>
    </row>
    <row r="14" spans="2:71" ht="70.5" customHeight="1" x14ac:dyDescent="0.25">
      <c r="B14" s="63"/>
      <c r="C14" s="64" t="str">
        <f>IFERROR(VLOOKUP(B14,Table_PrewrittenCode[#All],2,0),"")</f>
        <v/>
      </c>
      <c r="D14" s="32" t="str">
        <f>IFERROR(VLOOKUP(B14,Table_PrewrittenCode[#All],3,0),"")</f>
        <v/>
      </c>
      <c r="E14" s="54"/>
      <c r="F14" s="58" t="str">
        <f t="shared" si="0"/>
        <v/>
      </c>
      <c r="G14" s="54"/>
      <c r="H14" s="59" t="str">
        <f t="shared" si="1"/>
        <v/>
      </c>
      <c r="I14" s="48" t="str">
        <f t="shared" si="2"/>
        <v/>
      </c>
      <c r="J14" s="54"/>
      <c r="K14" s="60" t="str">
        <f t="shared" si="3"/>
        <v/>
      </c>
      <c r="L14" s="32" t="str">
        <f t="shared" si="4"/>
        <v/>
      </c>
      <c r="M14" s="32" t="str">
        <f t="shared" si="5"/>
        <v/>
      </c>
      <c r="N14" s="55"/>
      <c r="O14" s="66" t="str">
        <f t="shared" si="6"/>
        <v/>
      </c>
      <c r="P14" s="65"/>
      <c r="Q14" s="60" t="str">
        <f t="shared" si="7"/>
        <v/>
      </c>
      <c r="R14" s="32" t="str">
        <f t="shared" si="8"/>
        <v/>
      </c>
      <c r="S14" s="34" t="str">
        <f t="shared" si="9"/>
        <v/>
      </c>
      <c r="T14" s="32" t="str">
        <f t="shared" si="10"/>
        <v/>
      </c>
      <c r="U14" s="32" t="str">
        <f t="shared" si="11"/>
        <v/>
      </c>
      <c r="V14" s="32" t="str">
        <f t="shared" si="12"/>
        <v/>
      </c>
      <c r="W14" s="32" t="str">
        <f t="shared" si="13"/>
        <v/>
      </c>
      <c r="X14" s="32" t="str">
        <f t="shared" si="14"/>
        <v/>
      </c>
      <c r="Y14" s="32" t="str">
        <f t="shared" si="15"/>
        <v/>
      </c>
      <c r="Z14" s="32" t="str">
        <f t="shared" si="16"/>
        <v/>
      </c>
      <c r="AA14" s="32" t="str">
        <f t="shared" si="17"/>
        <v/>
      </c>
      <c r="AB14" s="32" t="str">
        <f t="shared" si="18"/>
        <v/>
      </c>
      <c r="AC14" s="35" t="str">
        <f t="shared" si="19"/>
        <v/>
      </c>
      <c r="AD14" s="32" t="str">
        <f t="shared" si="20"/>
        <v/>
      </c>
      <c r="AE14" s="32" t="str">
        <f t="shared" si="21"/>
        <v/>
      </c>
      <c r="AF14" s="32" t="str">
        <f t="shared" si="22"/>
        <v/>
      </c>
      <c r="AG14" s="32" t="str">
        <f t="shared" si="23"/>
        <v/>
      </c>
      <c r="AH14" s="32" t="str">
        <f t="shared" si="24"/>
        <v/>
      </c>
      <c r="AI14" s="32" t="str">
        <f t="shared" si="25"/>
        <v/>
      </c>
      <c r="AJ14" s="32" t="str">
        <f t="shared" si="26"/>
        <v/>
      </c>
      <c r="AK14" s="61" t="str">
        <f t="shared" si="27"/>
        <v/>
      </c>
      <c r="AL14" s="54"/>
      <c r="AM14" s="60" t="str">
        <f t="shared" si="28"/>
        <v/>
      </c>
      <c r="AN14" s="38"/>
      <c r="AO14" s="32" t="str">
        <f t="shared" si="29"/>
        <v/>
      </c>
      <c r="AP14" s="32" t="str">
        <f t="shared" si="30"/>
        <v/>
      </c>
      <c r="AQ14" s="32" t="str">
        <f t="shared" si="31"/>
        <v/>
      </c>
      <c r="AR14" s="32" t="str">
        <f t="shared" si="32"/>
        <v/>
      </c>
      <c r="AS14" s="32" t="str">
        <f t="shared" si="33"/>
        <v/>
      </c>
      <c r="AT14" s="32" t="str">
        <f t="shared" si="34"/>
        <v/>
      </c>
      <c r="AU14" s="32" t="str">
        <f t="shared" si="35"/>
        <v/>
      </c>
      <c r="AV14" s="32" t="str">
        <f t="shared" si="36"/>
        <v/>
      </c>
      <c r="AW14" s="32" t="str">
        <f t="shared" si="37"/>
        <v/>
      </c>
      <c r="AX14" s="32" t="str">
        <f t="shared" si="38"/>
        <v/>
      </c>
      <c r="AY14" s="32" t="str">
        <f t="shared" si="39"/>
        <v/>
      </c>
      <c r="AZ14" s="32" t="str">
        <f t="shared" si="40"/>
        <v/>
      </c>
      <c r="BA14" s="32" t="str">
        <f t="shared" si="41"/>
        <v/>
      </c>
      <c r="BB14" s="70"/>
      <c r="BC14" s="71" t="str">
        <f t="shared" si="42"/>
        <v/>
      </c>
      <c r="BD14" s="55"/>
      <c r="BE14" s="62" t="str">
        <f t="shared" si="43"/>
        <v/>
      </c>
      <c r="BF14" s="35" t="str">
        <f t="shared" si="44"/>
        <v/>
      </c>
      <c r="BG14" s="38"/>
      <c r="BH14" s="35" t="str">
        <f t="shared" si="45"/>
        <v/>
      </c>
      <c r="BI14" s="35" t="str">
        <f t="shared" si="46"/>
        <v/>
      </c>
      <c r="BJ14" s="38"/>
      <c r="BK14" s="35" t="str">
        <f t="shared" si="47"/>
        <v/>
      </c>
      <c r="BL14" s="35" t="str">
        <f t="shared" si="48"/>
        <v/>
      </c>
      <c r="BM14" s="38"/>
      <c r="BN14" s="35" t="str">
        <f t="shared" si="49"/>
        <v/>
      </c>
      <c r="BO14" s="35" t="str">
        <f t="shared" si="50"/>
        <v/>
      </c>
      <c r="BP14" s="32" t="str">
        <f t="shared" si="51"/>
        <v/>
      </c>
      <c r="BQ14" s="35" t="str">
        <f t="shared" si="52"/>
        <v/>
      </c>
      <c r="BR14" s="37" t="str">
        <f t="shared" si="53"/>
        <v/>
      </c>
      <c r="BS14" s="1"/>
    </row>
    <row r="15" spans="2:71" ht="70.5" customHeight="1" x14ac:dyDescent="0.25">
      <c r="B15" s="63"/>
      <c r="C15" s="64" t="str">
        <f>IFERROR(VLOOKUP(B15,Table_PrewrittenCode[#All],2,0),"")</f>
        <v/>
      </c>
      <c r="D15" s="32" t="str">
        <f>IFERROR(VLOOKUP(B15,Table_PrewrittenCode[#All],3,0),"")</f>
        <v/>
      </c>
      <c r="E15" s="54"/>
      <c r="F15" s="58" t="str">
        <f t="shared" si="0"/>
        <v/>
      </c>
      <c r="G15" s="54"/>
      <c r="H15" s="59" t="str">
        <f t="shared" si="1"/>
        <v/>
      </c>
      <c r="I15" s="48" t="str">
        <f t="shared" si="2"/>
        <v/>
      </c>
      <c r="J15" s="54"/>
      <c r="K15" s="60" t="str">
        <f t="shared" si="3"/>
        <v/>
      </c>
      <c r="L15" s="32" t="str">
        <f t="shared" si="4"/>
        <v/>
      </c>
      <c r="M15" s="32" t="str">
        <f t="shared" si="5"/>
        <v/>
      </c>
      <c r="N15" s="55"/>
      <c r="O15" s="66" t="str">
        <f t="shared" si="6"/>
        <v/>
      </c>
      <c r="P15" s="65"/>
      <c r="Q15" s="60" t="str">
        <f t="shared" si="7"/>
        <v/>
      </c>
      <c r="R15" s="32" t="str">
        <f t="shared" si="8"/>
        <v/>
      </c>
      <c r="S15" s="34" t="str">
        <f t="shared" si="9"/>
        <v/>
      </c>
      <c r="T15" s="32" t="str">
        <f t="shared" si="10"/>
        <v/>
      </c>
      <c r="U15" s="32" t="str">
        <f t="shared" si="11"/>
        <v/>
      </c>
      <c r="V15" s="32" t="str">
        <f t="shared" si="12"/>
        <v/>
      </c>
      <c r="W15" s="32" t="str">
        <f t="shared" si="13"/>
        <v/>
      </c>
      <c r="X15" s="32" t="str">
        <f t="shared" si="14"/>
        <v/>
      </c>
      <c r="Y15" s="32" t="str">
        <f t="shared" si="15"/>
        <v/>
      </c>
      <c r="Z15" s="32" t="str">
        <f t="shared" si="16"/>
        <v/>
      </c>
      <c r="AA15" s="32" t="str">
        <f t="shared" si="17"/>
        <v/>
      </c>
      <c r="AB15" s="32" t="str">
        <f t="shared" si="18"/>
        <v/>
      </c>
      <c r="AC15" s="35" t="str">
        <f t="shared" si="19"/>
        <v/>
      </c>
      <c r="AD15" s="32" t="str">
        <f t="shared" si="20"/>
        <v/>
      </c>
      <c r="AE15" s="32" t="str">
        <f t="shared" si="21"/>
        <v/>
      </c>
      <c r="AF15" s="32" t="str">
        <f t="shared" si="22"/>
        <v/>
      </c>
      <c r="AG15" s="32" t="str">
        <f t="shared" si="23"/>
        <v/>
      </c>
      <c r="AH15" s="32" t="str">
        <f t="shared" si="24"/>
        <v/>
      </c>
      <c r="AI15" s="32" t="str">
        <f t="shared" si="25"/>
        <v/>
      </c>
      <c r="AJ15" s="32" t="str">
        <f t="shared" si="26"/>
        <v/>
      </c>
      <c r="AK15" s="61" t="str">
        <f t="shared" si="27"/>
        <v/>
      </c>
      <c r="AL15" s="54"/>
      <c r="AM15" s="60" t="str">
        <f t="shared" si="28"/>
        <v/>
      </c>
      <c r="AN15" s="38"/>
      <c r="AO15" s="32" t="str">
        <f t="shared" si="29"/>
        <v/>
      </c>
      <c r="AP15" s="32" t="str">
        <f t="shared" si="30"/>
        <v/>
      </c>
      <c r="AQ15" s="32" t="str">
        <f t="shared" si="31"/>
        <v/>
      </c>
      <c r="AR15" s="32" t="str">
        <f t="shared" si="32"/>
        <v/>
      </c>
      <c r="AS15" s="32" t="str">
        <f t="shared" si="33"/>
        <v/>
      </c>
      <c r="AT15" s="32" t="str">
        <f t="shared" si="34"/>
        <v/>
      </c>
      <c r="AU15" s="32" t="str">
        <f t="shared" si="35"/>
        <v/>
      </c>
      <c r="AV15" s="32" t="str">
        <f t="shared" si="36"/>
        <v/>
      </c>
      <c r="AW15" s="32" t="str">
        <f t="shared" si="37"/>
        <v/>
      </c>
      <c r="AX15" s="32" t="str">
        <f t="shared" si="38"/>
        <v/>
      </c>
      <c r="AY15" s="32" t="str">
        <f t="shared" si="39"/>
        <v/>
      </c>
      <c r="AZ15" s="32" t="str">
        <f t="shared" si="40"/>
        <v/>
      </c>
      <c r="BA15" s="32" t="str">
        <f t="shared" si="41"/>
        <v/>
      </c>
      <c r="BB15" s="70"/>
      <c r="BC15" s="71" t="str">
        <f t="shared" si="42"/>
        <v/>
      </c>
      <c r="BD15" s="55"/>
      <c r="BE15" s="62" t="str">
        <f t="shared" si="43"/>
        <v/>
      </c>
      <c r="BF15" s="35" t="str">
        <f t="shared" si="44"/>
        <v/>
      </c>
      <c r="BG15" s="38"/>
      <c r="BH15" s="35" t="str">
        <f t="shared" si="45"/>
        <v/>
      </c>
      <c r="BI15" s="35" t="str">
        <f t="shared" si="46"/>
        <v/>
      </c>
      <c r="BJ15" s="38"/>
      <c r="BK15" s="35" t="str">
        <f t="shared" si="47"/>
        <v/>
      </c>
      <c r="BL15" s="35" t="str">
        <f t="shared" si="48"/>
        <v/>
      </c>
      <c r="BM15" s="38"/>
      <c r="BN15" s="35" t="str">
        <f t="shared" si="49"/>
        <v/>
      </c>
      <c r="BO15" s="35" t="str">
        <f t="shared" si="50"/>
        <v/>
      </c>
      <c r="BP15" s="32" t="str">
        <f t="shared" si="51"/>
        <v/>
      </c>
      <c r="BQ15" s="35" t="str">
        <f t="shared" si="52"/>
        <v/>
      </c>
      <c r="BR15" s="37" t="str">
        <f t="shared" si="53"/>
        <v/>
      </c>
      <c r="BS15" s="1"/>
    </row>
    <row r="16" spans="2:71" ht="70.5" customHeight="1" x14ac:dyDescent="0.25">
      <c r="B16" s="63"/>
      <c r="C16" s="64" t="str">
        <f>IFERROR(VLOOKUP(B16,Table_PrewrittenCode[#All],2,0),"")</f>
        <v/>
      </c>
      <c r="D16" s="32" t="str">
        <f>IFERROR(VLOOKUP(B16,Table_PrewrittenCode[#All],3,0),"")</f>
        <v/>
      </c>
      <c r="E16" s="54"/>
      <c r="F16" s="58" t="str">
        <f t="shared" si="0"/>
        <v/>
      </c>
      <c r="G16" s="54"/>
      <c r="H16" s="59" t="str">
        <f t="shared" si="1"/>
        <v/>
      </c>
      <c r="I16" s="48" t="str">
        <f t="shared" si="2"/>
        <v/>
      </c>
      <c r="J16" s="54"/>
      <c r="K16" s="60" t="str">
        <f t="shared" si="3"/>
        <v/>
      </c>
      <c r="L16" s="32" t="str">
        <f t="shared" si="4"/>
        <v/>
      </c>
      <c r="M16" s="32" t="str">
        <f t="shared" si="5"/>
        <v/>
      </c>
      <c r="N16" s="55"/>
      <c r="O16" s="66" t="str">
        <f t="shared" si="6"/>
        <v/>
      </c>
      <c r="P16" s="65"/>
      <c r="Q16" s="60" t="str">
        <f t="shared" si="7"/>
        <v/>
      </c>
      <c r="R16" s="32" t="str">
        <f t="shared" si="8"/>
        <v/>
      </c>
      <c r="S16" s="34" t="str">
        <f t="shared" si="9"/>
        <v/>
      </c>
      <c r="T16" s="32" t="str">
        <f t="shared" si="10"/>
        <v/>
      </c>
      <c r="U16" s="32" t="str">
        <f t="shared" si="11"/>
        <v/>
      </c>
      <c r="V16" s="32" t="str">
        <f t="shared" si="12"/>
        <v/>
      </c>
      <c r="W16" s="32" t="str">
        <f t="shared" si="13"/>
        <v/>
      </c>
      <c r="X16" s="32" t="str">
        <f t="shared" si="14"/>
        <v/>
      </c>
      <c r="Y16" s="32" t="str">
        <f t="shared" si="15"/>
        <v/>
      </c>
      <c r="Z16" s="32" t="str">
        <f t="shared" si="16"/>
        <v/>
      </c>
      <c r="AA16" s="32" t="str">
        <f t="shared" si="17"/>
        <v/>
      </c>
      <c r="AB16" s="32" t="str">
        <f t="shared" si="18"/>
        <v/>
      </c>
      <c r="AC16" s="35" t="str">
        <f t="shared" si="19"/>
        <v/>
      </c>
      <c r="AD16" s="32" t="str">
        <f t="shared" si="20"/>
        <v/>
      </c>
      <c r="AE16" s="32" t="str">
        <f t="shared" si="21"/>
        <v/>
      </c>
      <c r="AF16" s="32" t="str">
        <f t="shared" si="22"/>
        <v/>
      </c>
      <c r="AG16" s="32" t="str">
        <f t="shared" si="23"/>
        <v/>
      </c>
      <c r="AH16" s="32" t="str">
        <f t="shared" si="24"/>
        <v/>
      </c>
      <c r="AI16" s="32" t="str">
        <f t="shared" si="25"/>
        <v/>
      </c>
      <c r="AJ16" s="32" t="str">
        <f t="shared" si="26"/>
        <v/>
      </c>
      <c r="AK16" s="61" t="str">
        <f t="shared" si="27"/>
        <v/>
      </c>
      <c r="AL16" s="54"/>
      <c r="AM16" s="60" t="str">
        <f t="shared" si="28"/>
        <v/>
      </c>
      <c r="AN16" s="38"/>
      <c r="AO16" s="32" t="str">
        <f t="shared" si="29"/>
        <v/>
      </c>
      <c r="AP16" s="32" t="str">
        <f t="shared" si="30"/>
        <v/>
      </c>
      <c r="AQ16" s="32" t="str">
        <f t="shared" si="31"/>
        <v/>
      </c>
      <c r="AR16" s="32" t="str">
        <f t="shared" si="32"/>
        <v/>
      </c>
      <c r="AS16" s="32" t="str">
        <f t="shared" si="33"/>
        <v/>
      </c>
      <c r="AT16" s="32" t="str">
        <f t="shared" si="34"/>
        <v/>
      </c>
      <c r="AU16" s="32" t="str">
        <f t="shared" si="35"/>
        <v/>
      </c>
      <c r="AV16" s="32" t="str">
        <f t="shared" si="36"/>
        <v/>
      </c>
      <c r="AW16" s="32" t="str">
        <f t="shared" si="37"/>
        <v/>
      </c>
      <c r="AX16" s="32" t="str">
        <f t="shared" si="38"/>
        <v/>
      </c>
      <c r="AY16" s="32" t="str">
        <f t="shared" si="39"/>
        <v/>
      </c>
      <c r="AZ16" s="32" t="str">
        <f t="shared" si="40"/>
        <v/>
      </c>
      <c r="BA16" s="32" t="str">
        <f t="shared" si="41"/>
        <v/>
      </c>
      <c r="BB16" s="70"/>
      <c r="BC16" s="71" t="str">
        <f t="shared" si="42"/>
        <v/>
      </c>
      <c r="BD16" s="55"/>
      <c r="BE16" s="62" t="str">
        <f t="shared" si="43"/>
        <v/>
      </c>
      <c r="BF16" s="35" t="str">
        <f t="shared" si="44"/>
        <v/>
      </c>
      <c r="BG16" s="38"/>
      <c r="BH16" s="35" t="str">
        <f t="shared" si="45"/>
        <v/>
      </c>
      <c r="BI16" s="35" t="str">
        <f t="shared" si="46"/>
        <v/>
      </c>
      <c r="BJ16" s="38"/>
      <c r="BK16" s="35" t="str">
        <f t="shared" si="47"/>
        <v/>
      </c>
      <c r="BL16" s="35" t="str">
        <f t="shared" si="48"/>
        <v/>
      </c>
      <c r="BM16" s="38"/>
      <c r="BN16" s="35" t="str">
        <f t="shared" si="49"/>
        <v/>
      </c>
      <c r="BO16" s="35" t="str">
        <f t="shared" si="50"/>
        <v/>
      </c>
      <c r="BP16" s="32" t="str">
        <f t="shared" si="51"/>
        <v/>
      </c>
      <c r="BQ16" s="35" t="str">
        <f t="shared" si="52"/>
        <v/>
      </c>
      <c r="BR16" s="37" t="str">
        <f t="shared" si="53"/>
        <v/>
      </c>
      <c r="BS16" s="1"/>
    </row>
    <row r="17" spans="2:71" ht="70.5" customHeight="1" x14ac:dyDescent="0.25">
      <c r="B17" s="63"/>
      <c r="C17" s="64" t="str">
        <f>IFERROR(VLOOKUP(B17,Table_PrewrittenCode[#All],2,0),"")</f>
        <v/>
      </c>
      <c r="D17" s="32" t="str">
        <f>IFERROR(VLOOKUP(B17,Table_PrewrittenCode[#All],3,0),"")</f>
        <v/>
      </c>
      <c r="E17" s="54"/>
      <c r="F17" s="58" t="str">
        <f t="shared" si="0"/>
        <v/>
      </c>
      <c r="G17" s="54"/>
      <c r="H17" s="59" t="str">
        <f t="shared" si="1"/>
        <v/>
      </c>
      <c r="I17" s="48" t="str">
        <f t="shared" si="2"/>
        <v/>
      </c>
      <c r="J17" s="54"/>
      <c r="K17" s="60" t="str">
        <f t="shared" si="3"/>
        <v/>
      </c>
      <c r="L17" s="32" t="str">
        <f t="shared" si="4"/>
        <v/>
      </c>
      <c r="M17" s="32" t="str">
        <f t="shared" si="5"/>
        <v/>
      </c>
      <c r="N17" s="55"/>
      <c r="O17" s="66" t="str">
        <f t="shared" si="6"/>
        <v/>
      </c>
      <c r="P17" s="65"/>
      <c r="Q17" s="60" t="str">
        <f t="shared" si="7"/>
        <v/>
      </c>
      <c r="R17" s="32" t="str">
        <f t="shared" si="8"/>
        <v/>
      </c>
      <c r="S17" s="34" t="str">
        <f t="shared" si="9"/>
        <v/>
      </c>
      <c r="T17" s="32" t="str">
        <f t="shared" si="10"/>
        <v/>
      </c>
      <c r="U17" s="32" t="str">
        <f t="shared" si="11"/>
        <v/>
      </c>
      <c r="V17" s="32" t="str">
        <f t="shared" si="12"/>
        <v/>
      </c>
      <c r="W17" s="32" t="str">
        <f t="shared" si="13"/>
        <v/>
      </c>
      <c r="X17" s="32" t="str">
        <f t="shared" si="14"/>
        <v/>
      </c>
      <c r="Y17" s="32" t="str">
        <f t="shared" si="15"/>
        <v/>
      </c>
      <c r="Z17" s="32" t="str">
        <f t="shared" si="16"/>
        <v/>
      </c>
      <c r="AA17" s="32" t="str">
        <f t="shared" si="17"/>
        <v/>
      </c>
      <c r="AB17" s="32" t="str">
        <f t="shared" si="18"/>
        <v/>
      </c>
      <c r="AC17" s="35" t="str">
        <f t="shared" si="19"/>
        <v/>
      </c>
      <c r="AD17" s="32" t="str">
        <f t="shared" si="20"/>
        <v/>
      </c>
      <c r="AE17" s="32" t="str">
        <f t="shared" si="21"/>
        <v/>
      </c>
      <c r="AF17" s="32" t="str">
        <f t="shared" si="22"/>
        <v/>
      </c>
      <c r="AG17" s="32" t="str">
        <f t="shared" si="23"/>
        <v/>
      </c>
      <c r="AH17" s="32" t="str">
        <f t="shared" si="24"/>
        <v/>
      </c>
      <c r="AI17" s="32" t="str">
        <f t="shared" si="25"/>
        <v/>
      </c>
      <c r="AJ17" s="32" t="str">
        <f t="shared" si="26"/>
        <v/>
      </c>
      <c r="AK17" s="61" t="str">
        <f t="shared" si="27"/>
        <v/>
      </c>
      <c r="AL17" s="54"/>
      <c r="AM17" s="60" t="str">
        <f t="shared" si="28"/>
        <v/>
      </c>
      <c r="AN17" s="38"/>
      <c r="AO17" s="32" t="str">
        <f t="shared" si="29"/>
        <v/>
      </c>
      <c r="AP17" s="32" t="str">
        <f t="shared" si="30"/>
        <v/>
      </c>
      <c r="AQ17" s="32" t="str">
        <f t="shared" si="31"/>
        <v/>
      </c>
      <c r="AR17" s="32" t="str">
        <f t="shared" si="32"/>
        <v/>
      </c>
      <c r="AS17" s="32" t="str">
        <f t="shared" si="33"/>
        <v/>
      </c>
      <c r="AT17" s="32" t="str">
        <f t="shared" si="34"/>
        <v/>
      </c>
      <c r="AU17" s="32" t="str">
        <f t="shared" si="35"/>
        <v/>
      </c>
      <c r="AV17" s="32" t="str">
        <f t="shared" si="36"/>
        <v/>
      </c>
      <c r="AW17" s="32" t="str">
        <f t="shared" si="37"/>
        <v/>
      </c>
      <c r="AX17" s="32" t="str">
        <f t="shared" si="38"/>
        <v/>
      </c>
      <c r="AY17" s="32" t="str">
        <f t="shared" si="39"/>
        <v/>
      </c>
      <c r="AZ17" s="32" t="str">
        <f t="shared" si="40"/>
        <v/>
      </c>
      <c r="BA17" s="32" t="str">
        <f t="shared" si="41"/>
        <v/>
      </c>
      <c r="BB17" s="70"/>
      <c r="BC17" s="71" t="str">
        <f t="shared" si="42"/>
        <v/>
      </c>
      <c r="BD17" s="55"/>
      <c r="BE17" s="62" t="str">
        <f t="shared" si="43"/>
        <v/>
      </c>
      <c r="BF17" s="35" t="str">
        <f t="shared" si="44"/>
        <v/>
      </c>
      <c r="BG17" s="38"/>
      <c r="BH17" s="35" t="str">
        <f t="shared" si="45"/>
        <v/>
      </c>
      <c r="BI17" s="35" t="str">
        <f t="shared" si="46"/>
        <v/>
      </c>
      <c r="BJ17" s="38"/>
      <c r="BK17" s="35" t="str">
        <f t="shared" si="47"/>
        <v/>
      </c>
      <c r="BL17" s="35" t="str">
        <f t="shared" si="48"/>
        <v/>
      </c>
      <c r="BM17" s="38"/>
      <c r="BN17" s="35" t="str">
        <f t="shared" si="49"/>
        <v/>
      </c>
      <c r="BO17" s="35" t="str">
        <f t="shared" si="50"/>
        <v/>
      </c>
      <c r="BP17" s="32" t="str">
        <f t="shared" si="51"/>
        <v/>
      </c>
      <c r="BQ17" s="35" t="str">
        <f t="shared" si="52"/>
        <v/>
      </c>
      <c r="BR17" s="37" t="str">
        <f t="shared" si="53"/>
        <v/>
      </c>
      <c r="BS17" s="1"/>
    </row>
    <row r="18" spans="2:71" ht="70.5" customHeight="1" x14ac:dyDescent="0.25">
      <c r="B18" s="63"/>
      <c r="C18" s="64" t="str">
        <f>IFERROR(VLOOKUP(B18,Table_PrewrittenCode[#All],2,0),"")</f>
        <v/>
      </c>
      <c r="D18" s="32" t="str">
        <f>IFERROR(VLOOKUP(B18,Table_PrewrittenCode[#All],3,0),"")</f>
        <v/>
      </c>
      <c r="E18" s="54"/>
      <c r="F18" s="58" t="str">
        <f t="shared" si="0"/>
        <v/>
      </c>
      <c r="G18" s="54"/>
      <c r="H18" s="59" t="str">
        <f t="shared" si="1"/>
        <v/>
      </c>
      <c r="I18" s="48" t="str">
        <f t="shared" si="2"/>
        <v/>
      </c>
      <c r="J18" s="54"/>
      <c r="K18" s="60" t="str">
        <f t="shared" si="3"/>
        <v/>
      </c>
      <c r="L18" s="32" t="str">
        <f t="shared" si="4"/>
        <v/>
      </c>
      <c r="M18" s="32" t="str">
        <f t="shared" si="5"/>
        <v/>
      </c>
      <c r="N18" s="55"/>
      <c r="O18" s="66" t="str">
        <f t="shared" si="6"/>
        <v/>
      </c>
      <c r="P18" s="65"/>
      <c r="Q18" s="60" t="str">
        <f t="shared" si="7"/>
        <v/>
      </c>
      <c r="R18" s="32" t="str">
        <f t="shared" si="8"/>
        <v/>
      </c>
      <c r="S18" s="34" t="str">
        <f t="shared" si="9"/>
        <v/>
      </c>
      <c r="T18" s="32" t="str">
        <f t="shared" si="10"/>
        <v/>
      </c>
      <c r="U18" s="32" t="str">
        <f t="shared" si="11"/>
        <v/>
      </c>
      <c r="V18" s="32" t="str">
        <f t="shared" si="12"/>
        <v/>
      </c>
      <c r="W18" s="32" t="str">
        <f t="shared" si="13"/>
        <v/>
      </c>
      <c r="X18" s="32" t="str">
        <f t="shared" si="14"/>
        <v/>
      </c>
      <c r="Y18" s="32" t="str">
        <f t="shared" si="15"/>
        <v/>
      </c>
      <c r="Z18" s="32" t="str">
        <f t="shared" si="16"/>
        <v/>
      </c>
      <c r="AA18" s="32" t="str">
        <f t="shared" si="17"/>
        <v/>
      </c>
      <c r="AB18" s="32" t="str">
        <f t="shared" si="18"/>
        <v/>
      </c>
      <c r="AC18" s="35" t="str">
        <f t="shared" si="19"/>
        <v/>
      </c>
      <c r="AD18" s="32" t="str">
        <f t="shared" si="20"/>
        <v/>
      </c>
      <c r="AE18" s="32" t="str">
        <f t="shared" si="21"/>
        <v/>
      </c>
      <c r="AF18" s="32" t="str">
        <f t="shared" si="22"/>
        <v/>
      </c>
      <c r="AG18" s="32" t="str">
        <f t="shared" si="23"/>
        <v/>
      </c>
      <c r="AH18" s="32" t="str">
        <f t="shared" si="24"/>
        <v/>
      </c>
      <c r="AI18" s="32" t="str">
        <f t="shared" si="25"/>
        <v/>
      </c>
      <c r="AJ18" s="32" t="str">
        <f t="shared" si="26"/>
        <v/>
      </c>
      <c r="AK18" s="61" t="str">
        <f t="shared" si="27"/>
        <v/>
      </c>
      <c r="AL18" s="54"/>
      <c r="AM18" s="60" t="str">
        <f t="shared" si="28"/>
        <v/>
      </c>
      <c r="AN18" s="38"/>
      <c r="AO18" s="32" t="str">
        <f t="shared" si="29"/>
        <v/>
      </c>
      <c r="AP18" s="32" t="str">
        <f t="shared" si="30"/>
        <v/>
      </c>
      <c r="AQ18" s="32" t="str">
        <f t="shared" si="31"/>
        <v/>
      </c>
      <c r="AR18" s="32" t="str">
        <f t="shared" si="32"/>
        <v/>
      </c>
      <c r="AS18" s="32" t="str">
        <f t="shared" si="33"/>
        <v/>
      </c>
      <c r="AT18" s="32" t="str">
        <f t="shared" si="34"/>
        <v/>
      </c>
      <c r="AU18" s="32" t="str">
        <f t="shared" si="35"/>
        <v/>
      </c>
      <c r="AV18" s="32" t="str">
        <f t="shared" si="36"/>
        <v/>
      </c>
      <c r="AW18" s="32" t="str">
        <f t="shared" si="37"/>
        <v/>
      </c>
      <c r="AX18" s="32" t="str">
        <f t="shared" si="38"/>
        <v/>
      </c>
      <c r="AY18" s="32" t="str">
        <f t="shared" si="39"/>
        <v/>
      </c>
      <c r="AZ18" s="32" t="str">
        <f t="shared" si="40"/>
        <v/>
      </c>
      <c r="BA18" s="32" t="str">
        <f t="shared" si="41"/>
        <v/>
      </c>
      <c r="BB18" s="70"/>
      <c r="BC18" s="71" t="str">
        <f t="shared" si="42"/>
        <v/>
      </c>
      <c r="BD18" s="55"/>
      <c r="BE18" s="62" t="str">
        <f t="shared" si="43"/>
        <v/>
      </c>
      <c r="BF18" s="35" t="str">
        <f t="shared" si="44"/>
        <v/>
      </c>
      <c r="BG18" s="38"/>
      <c r="BH18" s="35" t="str">
        <f t="shared" si="45"/>
        <v/>
      </c>
      <c r="BI18" s="35" t="str">
        <f t="shared" si="46"/>
        <v/>
      </c>
      <c r="BJ18" s="38"/>
      <c r="BK18" s="35" t="str">
        <f t="shared" si="47"/>
        <v/>
      </c>
      <c r="BL18" s="35" t="str">
        <f t="shared" si="48"/>
        <v/>
      </c>
      <c r="BM18" s="38"/>
      <c r="BN18" s="35" t="str">
        <f t="shared" si="49"/>
        <v/>
      </c>
      <c r="BO18" s="35" t="str">
        <f t="shared" si="50"/>
        <v/>
      </c>
      <c r="BP18" s="32" t="str">
        <f t="shared" si="51"/>
        <v/>
      </c>
      <c r="BQ18" s="35" t="str">
        <f t="shared" si="52"/>
        <v/>
      </c>
      <c r="BR18" s="37" t="str">
        <f t="shared" si="53"/>
        <v/>
      </c>
      <c r="BS18" s="1"/>
    </row>
    <row r="19" spans="2:71" ht="70.5" customHeight="1" x14ac:dyDescent="0.25">
      <c r="B19" s="63"/>
      <c r="C19" s="64" t="str">
        <f>IFERROR(VLOOKUP(B19,Table_PrewrittenCode[#All],2,0),"")</f>
        <v/>
      </c>
      <c r="D19" s="32" t="str">
        <f>IFERROR(VLOOKUP(B19,Table_PrewrittenCode[#All],3,0),"")</f>
        <v/>
      </c>
      <c r="E19" s="54"/>
      <c r="F19" s="58" t="str">
        <f t="shared" si="0"/>
        <v/>
      </c>
      <c r="G19" s="54"/>
      <c r="H19" s="59" t="str">
        <f t="shared" si="1"/>
        <v/>
      </c>
      <c r="I19" s="48" t="str">
        <f t="shared" si="2"/>
        <v/>
      </c>
      <c r="J19" s="54"/>
      <c r="K19" s="60" t="str">
        <f t="shared" si="3"/>
        <v/>
      </c>
      <c r="L19" s="32" t="str">
        <f t="shared" si="4"/>
        <v/>
      </c>
      <c r="M19" s="32" t="str">
        <f t="shared" si="5"/>
        <v/>
      </c>
      <c r="N19" s="55"/>
      <c r="O19" s="66" t="str">
        <f t="shared" si="6"/>
        <v/>
      </c>
      <c r="P19" s="65"/>
      <c r="Q19" s="60" t="str">
        <f t="shared" si="7"/>
        <v/>
      </c>
      <c r="R19" s="32" t="str">
        <f t="shared" si="8"/>
        <v/>
      </c>
      <c r="S19" s="34" t="str">
        <f t="shared" si="9"/>
        <v/>
      </c>
      <c r="T19" s="32" t="str">
        <f t="shared" si="10"/>
        <v/>
      </c>
      <c r="U19" s="32" t="str">
        <f t="shared" si="11"/>
        <v/>
      </c>
      <c r="V19" s="32" t="str">
        <f t="shared" si="12"/>
        <v/>
      </c>
      <c r="W19" s="32" t="str">
        <f t="shared" si="13"/>
        <v/>
      </c>
      <c r="X19" s="32" t="str">
        <f t="shared" si="14"/>
        <v/>
      </c>
      <c r="Y19" s="32" t="str">
        <f t="shared" si="15"/>
        <v/>
      </c>
      <c r="Z19" s="32" t="str">
        <f t="shared" si="16"/>
        <v/>
      </c>
      <c r="AA19" s="32" t="str">
        <f t="shared" si="17"/>
        <v/>
      </c>
      <c r="AB19" s="32" t="str">
        <f t="shared" si="18"/>
        <v/>
      </c>
      <c r="AC19" s="35" t="str">
        <f t="shared" si="19"/>
        <v/>
      </c>
      <c r="AD19" s="32" t="str">
        <f t="shared" si="20"/>
        <v/>
      </c>
      <c r="AE19" s="32" t="str">
        <f t="shared" si="21"/>
        <v/>
      </c>
      <c r="AF19" s="32" t="str">
        <f t="shared" si="22"/>
        <v/>
      </c>
      <c r="AG19" s="32" t="str">
        <f t="shared" si="23"/>
        <v/>
      </c>
      <c r="AH19" s="32" t="str">
        <f t="shared" si="24"/>
        <v/>
      </c>
      <c r="AI19" s="32" t="str">
        <f t="shared" si="25"/>
        <v/>
      </c>
      <c r="AJ19" s="32" t="str">
        <f t="shared" si="26"/>
        <v/>
      </c>
      <c r="AK19" s="61" t="str">
        <f t="shared" si="27"/>
        <v/>
      </c>
      <c r="AL19" s="54"/>
      <c r="AM19" s="60" t="str">
        <f t="shared" si="28"/>
        <v/>
      </c>
      <c r="AN19" s="38"/>
      <c r="AO19" s="32" t="str">
        <f t="shared" si="29"/>
        <v/>
      </c>
      <c r="AP19" s="32" t="str">
        <f t="shared" si="30"/>
        <v/>
      </c>
      <c r="AQ19" s="32" t="str">
        <f t="shared" si="31"/>
        <v/>
      </c>
      <c r="AR19" s="32" t="str">
        <f t="shared" si="32"/>
        <v/>
      </c>
      <c r="AS19" s="32" t="str">
        <f t="shared" si="33"/>
        <v/>
      </c>
      <c r="AT19" s="32" t="str">
        <f t="shared" si="34"/>
        <v/>
      </c>
      <c r="AU19" s="32" t="str">
        <f t="shared" si="35"/>
        <v/>
      </c>
      <c r="AV19" s="32" t="str">
        <f t="shared" si="36"/>
        <v/>
      </c>
      <c r="AW19" s="32" t="str">
        <f t="shared" si="37"/>
        <v/>
      </c>
      <c r="AX19" s="32" t="str">
        <f t="shared" si="38"/>
        <v/>
      </c>
      <c r="AY19" s="32" t="str">
        <f t="shared" si="39"/>
        <v/>
      </c>
      <c r="AZ19" s="32" t="str">
        <f t="shared" si="40"/>
        <v/>
      </c>
      <c r="BA19" s="32" t="str">
        <f t="shared" si="41"/>
        <v/>
      </c>
      <c r="BB19" s="70"/>
      <c r="BC19" s="71" t="str">
        <f t="shared" si="42"/>
        <v/>
      </c>
      <c r="BD19" s="55"/>
      <c r="BE19" s="62" t="str">
        <f t="shared" si="43"/>
        <v/>
      </c>
      <c r="BF19" s="35" t="str">
        <f t="shared" si="44"/>
        <v/>
      </c>
      <c r="BG19" s="38"/>
      <c r="BH19" s="35" t="str">
        <f t="shared" si="45"/>
        <v/>
      </c>
      <c r="BI19" s="35" t="str">
        <f t="shared" si="46"/>
        <v/>
      </c>
      <c r="BJ19" s="38"/>
      <c r="BK19" s="35" t="str">
        <f t="shared" si="47"/>
        <v/>
      </c>
      <c r="BL19" s="35" t="str">
        <f t="shared" si="48"/>
        <v/>
      </c>
      <c r="BM19" s="38"/>
      <c r="BN19" s="35" t="str">
        <f t="shared" si="49"/>
        <v/>
      </c>
      <c r="BO19" s="35" t="str">
        <f t="shared" si="50"/>
        <v/>
      </c>
      <c r="BP19" s="32" t="str">
        <f t="shared" si="51"/>
        <v/>
      </c>
      <c r="BQ19" s="35" t="str">
        <f t="shared" si="52"/>
        <v/>
      </c>
      <c r="BR19" s="37" t="str">
        <f t="shared" si="53"/>
        <v/>
      </c>
      <c r="BS19" s="1"/>
    </row>
    <row r="20" spans="2:71" ht="70.5" customHeight="1" x14ac:dyDescent="0.25">
      <c r="B20" s="63"/>
      <c r="C20" s="64" t="str">
        <f>IFERROR(VLOOKUP(B20,Table_PrewrittenCode[#All],2,0),"")</f>
        <v/>
      </c>
      <c r="D20" s="32" t="str">
        <f>IFERROR(VLOOKUP(B20,Table_PrewrittenCode[#All],3,0),"")</f>
        <v/>
      </c>
      <c r="E20" s="54"/>
      <c r="F20" s="58" t="str">
        <f t="shared" si="0"/>
        <v/>
      </c>
      <c r="G20" s="54"/>
      <c r="H20" s="59" t="str">
        <f t="shared" si="1"/>
        <v/>
      </c>
      <c r="I20" s="48" t="str">
        <f t="shared" si="2"/>
        <v/>
      </c>
      <c r="J20" s="54"/>
      <c r="K20" s="60" t="str">
        <f t="shared" si="3"/>
        <v/>
      </c>
      <c r="L20" s="32" t="str">
        <f t="shared" si="4"/>
        <v/>
      </c>
      <c r="M20" s="32" t="str">
        <f t="shared" si="5"/>
        <v/>
      </c>
      <c r="N20" s="55"/>
      <c r="O20" s="66" t="str">
        <f t="shared" si="6"/>
        <v/>
      </c>
      <c r="P20" s="65"/>
      <c r="Q20" s="60" t="str">
        <f t="shared" si="7"/>
        <v/>
      </c>
      <c r="R20" s="32" t="str">
        <f t="shared" si="8"/>
        <v/>
      </c>
      <c r="S20" s="34" t="str">
        <f t="shared" si="9"/>
        <v/>
      </c>
      <c r="T20" s="32" t="str">
        <f t="shared" si="10"/>
        <v/>
      </c>
      <c r="U20" s="32" t="str">
        <f t="shared" si="11"/>
        <v/>
      </c>
      <c r="V20" s="32" t="str">
        <f t="shared" si="12"/>
        <v/>
      </c>
      <c r="W20" s="32" t="str">
        <f t="shared" si="13"/>
        <v/>
      </c>
      <c r="X20" s="32" t="str">
        <f t="shared" si="14"/>
        <v/>
      </c>
      <c r="Y20" s="32" t="str">
        <f t="shared" si="15"/>
        <v/>
      </c>
      <c r="Z20" s="32" t="str">
        <f t="shared" si="16"/>
        <v/>
      </c>
      <c r="AA20" s="32" t="str">
        <f t="shared" si="17"/>
        <v/>
      </c>
      <c r="AB20" s="32" t="str">
        <f t="shared" si="18"/>
        <v/>
      </c>
      <c r="AC20" s="35" t="str">
        <f t="shared" si="19"/>
        <v/>
      </c>
      <c r="AD20" s="32" t="str">
        <f t="shared" si="20"/>
        <v/>
      </c>
      <c r="AE20" s="32" t="str">
        <f t="shared" si="21"/>
        <v/>
      </c>
      <c r="AF20" s="32" t="str">
        <f t="shared" si="22"/>
        <v/>
      </c>
      <c r="AG20" s="32" t="str">
        <f t="shared" si="23"/>
        <v/>
      </c>
      <c r="AH20" s="32" t="str">
        <f t="shared" si="24"/>
        <v/>
      </c>
      <c r="AI20" s="32" t="str">
        <f t="shared" si="25"/>
        <v/>
      </c>
      <c r="AJ20" s="32" t="str">
        <f t="shared" si="26"/>
        <v/>
      </c>
      <c r="AK20" s="61" t="str">
        <f t="shared" si="27"/>
        <v/>
      </c>
      <c r="AL20" s="54"/>
      <c r="AM20" s="60" t="str">
        <f t="shared" si="28"/>
        <v/>
      </c>
      <c r="AN20" s="38"/>
      <c r="AO20" s="32" t="str">
        <f t="shared" si="29"/>
        <v/>
      </c>
      <c r="AP20" s="32" t="str">
        <f t="shared" si="30"/>
        <v/>
      </c>
      <c r="AQ20" s="32" t="str">
        <f t="shared" si="31"/>
        <v/>
      </c>
      <c r="AR20" s="32" t="str">
        <f t="shared" si="32"/>
        <v/>
      </c>
      <c r="AS20" s="32" t="str">
        <f t="shared" si="33"/>
        <v/>
      </c>
      <c r="AT20" s="32" t="str">
        <f t="shared" si="34"/>
        <v/>
      </c>
      <c r="AU20" s="32" t="str">
        <f t="shared" si="35"/>
        <v/>
      </c>
      <c r="AV20" s="32" t="str">
        <f t="shared" si="36"/>
        <v/>
      </c>
      <c r="AW20" s="32" t="str">
        <f t="shared" si="37"/>
        <v/>
      </c>
      <c r="AX20" s="32" t="str">
        <f t="shared" si="38"/>
        <v/>
      </c>
      <c r="AY20" s="32" t="str">
        <f t="shared" si="39"/>
        <v/>
      </c>
      <c r="AZ20" s="32" t="str">
        <f t="shared" si="40"/>
        <v/>
      </c>
      <c r="BA20" s="32" t="str">
        <f t="shared" si="41"/>
        <v/>
      </c>
      <c r="BB20" s="70"/>
      <c r="BC20" s="71" t="str">
        <f t="shared" si="42"/>
        <v/>
      </c>
      <c r="BD20" s="55"/>
      <c r="BE20" s="62" t="str">
        <f t="shared" si="43"/>
        <v/>
      </c>
      <c r="BF20" s="35" t="str">
        <f t="shared" si="44"/>
        <v/>
      </c>
      <c r="BG20" s="38"/>
      <c r="BH20" s="35" t="str">
        <f t="shared" si="45"/>
        <v/>
      </c>
      <c r="BI20" s="35" t="str">
        <f t="shared" si="46"/>
        <v/>
      </c>
      <c r="BJ20" s="38"/>
      <c r="BK20" s="35" t="str">
        <f t="shared" si="47"/>
        <v/>
      </c>
      <c r="BL20" s="35" t="str">
        <f t="shared" si="48"/>
        <v/>
      </c>
      <c r="BM20" s="38"/>
      <c r="BN20" s="35" t="str">
        <f t="shared" si="49"/>
        <v/>
      </c>
      <c r="BO20" s="35" t="str">
        <f t="shared" si="50"/>
        <v/>
      </c>
      <c r="BP20" s="32" t="str">
        <f t="shared" si="51"/>
        <v/>
      </c>
      <c r="BQ20" s="35" t="str">
        <f t="shared" si="52"/>
        <v/>
      </c>
      <c r="BR20" s="37" t="str">
        <f t="shared" si="53"/>
        <v/>
      </c>
      <c r="BS20" s="1"/>
    </row>
    <row r="21" spans="2:71" ht="70.5" customHeight="1" x14ac:dyDescent="0.25">
      <c r="B21" s="63"/>
      <c r="C21" s="64" t="str">
        <f>IFERROR(VLOOKUP(B21,Table_PrewrittenCode[#All],2,0),"")</f>
        <v/>
      </c>
      <c r="D21" s="32" t="str">
        <f>IFERROR(VLOOKUP(B21,Table_PrewrittenCode[#All],3,0),"")</f>
        <v/>
      </c>
      <c r="E21" s="54"/>
      <c r="F21" s="58" t="str">
        <f t="shared" si="0"/>
        <v/>
      </c>
      <c r="G21" s="54"/>
      <c r="H21" s="59" t="str">
        <f t="shared" si="1"/>
        <v/>
      </c>
      <c r="I21" s="48" t="str">
        <f t="shared" si="2"/>
        <v/>
      </c>
      <c r="J21" s="54"/>
      <c r="K21" s="60" t="str">
        <f t="shared" si="3"/>
        <v/>
      </c>
      <c r="L21" s="32" t="str">
        <f t="shared" si="4"/>
        <v/>
      </c>
      <c r="M21" s="32" t="str">
        <f t="shared" si="5"/>
        <v/>
      </c>
      <c r="N21" s="55"/>
      <c r="O21" s="66" t="str">
        <f t="shared" si="6"/>
        <v/>
      </c>
      <c r="P21" s="65"/>
      <c r="Q21" s="60" t="str">
        <f t="shared" si="7"/>
        <v/>
      </c>
      <c r="R21" s="32" t="str">
        <f t="shared" si="8"/>
        <v/>
      </c>
      <c r="S21" s="34" t="str">
        <f t="shared" si="9"/>
        <v/>
      </c>
      <c r="T21" s="32" t="str">
        <f t="shared" si="10"/>
        <v/>
      </c>
      <c r="U21" s="32" t="str">
        <f t="shared" si="11"/>
        <v/>
      </c>
      <c r="V21" s="32" t="str">
        <f t="shared" si="12"/>
        <v/>
      </c>
      <c r="W21" s="32" t="str">
        <f t="shared" si="13"/>
        <v/>
      </c>
      <c r="X21" s="32" t="str">
        <f t="shared" si="14"/>
        <v/>
      </c>
      <c r="Y21" s="32" t="str">
        <f t="shared" si="15"/>
        <v/>
      </c>
      <c r="Z21" s="32" t="str">
        <f t="shared" si="16"/>
        <v/>
      </c>
      <c r="AA21" s="32" t="str">
        <f t="shared" si="17"/>
        <v/>
      </c>
      <c r="AB21" s="32" t="str">
        <f t="shared" si="18"/>
        <v/>
      </c>
      <c r="AC21" s="35" t="str">
        <f t="shared" si="19"/>
        <v/>
      </c>
      <c r="AD21" s="32" t="str">
        <f t="shared" si="20"/>
        <v/>
      </c>
      <c r="AE21" s="32" t="str">
        <f t="shared" si="21"/>
        <v/>
      </c>
      <c r="AF21" s="32" t="str">
        <f t="shared" si="22"/>
        <v/>
      </c>
      <c r="AG21" s="32" t="str">
        <f t="shared" si="23"/>
        <v/>
      </c>
      <c r="AH21" s="32" t="str">
        <f t="shared" si="24"/>
        <v/>
      </c>
      <c r="AI21" s="32" t="str">
        <f t="shared" si="25"/>
        <v/>
      </c>
      <c r="AJ21" s="32" t="str">
        <f t="shared" si="26"/>
        <v/>
      </c>
      <c r="AK21" s="61" t="str">
        <f t="shared" si="27"/>
        <v/>
      </c>
      <c r="AL21" s="54"/>
      <c r="AM21" s="60" t="str">
        <f t="shared" si="28"/>
        <v/>
      </c>
      <c r="AN21" s="38"/>
      <c r="AO21" s="32" t="str">
        <f t="shared" si="29"/>
        <v/>
      </c>
      <c r="AP21" s="32" t="str">
        <f t="shared" si="30"/>
        <v/>
      </c>
      <c r="AQ21" s="32" t="str">
        <f t="shared" si="31"/>
        <v/>
      </c>
      <c r="AR21" s="32" t="str">
        <f t="shared" si="32"/>
        <v/>
      </c>
      <c r="AS21" s="32" t="str">
        <f t="shared" si="33"/>
        <v/>
      </c>
      <c r="AT21" s="32" t="str">
        <f t="shared" si="34"/>
        <v/>
      </c>
      <c r="AU21" s="32" t="str">
        <f t="shared" si="35"/>
        <v/>
      </c>
      <c r="AV21" s="32" t="str">
        <f t="shared" si="36"/>
        <v/>
      </c>
      <c r="AW21" s="32" t="str">
        <f t="shared" si="37"/>
        <v/>
      </c>
      <c r="AX21" s="32" t="str">
        <f t="shared" si="38"/>
        <v/>
      </c>
      <c r="AY21" s="32" t="str">
        <f t="shared" si="39"/>
        <v/>
      </c>
      <c r="AZ21" s="32" t="str">
        <f t="shared" si="40"/>
        <v/>
      </c>
      <c r="BA21" s="32" t="str">
        <f t="shared" si="41"/>
        <v/>
      </c>
      <c r="BB21" s="70"/>
      <c r="BC21" s="71" t="str">
        <f t="shared" si="42"/>
        <v/>
      </c>
      <c r="BD21" s="55"/>
      <c r="BE21" s="62" t="str">
        <f t="shared" si="43"/>
        <v/>
      </c>
      <c r="BF21" s="35" t="str">
        <f t="shared" si="44"/>
        <v/>
      </c>
      <c r="BG21" s="38"/>
      <c r="BH21" s="35" t="str">
        <f t="shared" si="45"/>
        <v/>
      </c>
      <c r="BI21" s="35" t="str">
        <f t="shared" si="46"/>
        <v/>
      </c>
      <c r="BJ21" s="38"/>
      <c r="BK21" s="35" t="str">
        <f t="shared" si="47"/>
        <v/>
      </c>
      <c r="BL21" s="35" t="str">
        <f t="shared" si="48"/>
        <v/>
      </c>
      <c r="BM21" s="38"/>
      <c r="BN21" s="35" t="str">
        <f t="shared" si="49"/>
        <v/>
      </c>
      <c r="BO21" s="35" t="str">
        <f t="shared" si="50"/>
        <v/>
      </c>
      <c r="BP21" s="32" t="str">
        <f t="shared" si="51"/>
        <v/>
      </c>
      <c r="BQ21" s="35" t="str">
        <f t="shared" si="52"/>
        <v/>
      </c>
      <c r="BR21" s="37" t="str">
        <f t="shared" si="53"/>
        <v/>
      </c>
      <c r="BS21" s="1"/>
    </row>
    <row r="22" spans="2:71" ht="70.5" customHeight="1" x14ac:dyDescent="0.25">
      <c r="B22" s="63"/>
      <c r="C22" s="64" t="str">
        <f>IFERROR(VLOOKUP(B22,Table_PrewrittenCode[#All],2,0),"")</f>
        <v/>
      </c>
      <c r="D22" s="32" t="str">
        <f>IFERROR(VLOOKUP(B22,Table_PrewrittenCode[#All],3,0),"")</f>
        <v/>
      </c>
      <c r="E22" s="54"/>
      <c r="F22" s="58" t="str">
        <f t="shared" si="0"/>
        <v/>
      </c>
      <c r="G22" s="54"/>
      <c r="H22" s="59" t="str">
        <f t="shared" si="1"/>
        <v/>
      </c>
      <c r="I22" s="48" t="str">
        <f t="shared" si="2"/>
        <v/>
      </c>
      <c r="J22" s="54"/>
      <c r="K22" s="60" t="str">
        <f t="shared" si="3"/>
        <v/>
      </c>
      <c r="L22" s="32" t="str">
        <f t="shared" si="4"/>
        <v/>
      </c>
      <c r="M22" s="32" t="str">
        <f t="shared" si="5"/>
        <v/>
      </c>
      <c r="N22" s="55"/>
      <c r="O22" s="66" t="str">
        <f t="shared" si="6"/>
        <v/>
      </c>
      <c r="P22" s="65"/>
      <c r="Q22" s="60" t="str">
        <f t="shared" si="7"/>
        <v/>
      </c>
      <c r="R22" s="32" t="str">
        <f t="shared" si="8"/>
        <v/>
      </c>
      <c r="S22" s="34" t="str">
        <f t="shared" si="9"/>
        <v/>
      </c>
      <c r="T22" s="32" t="str">
        <f t="shared" si="10"/>
        <v/>
      </c>
      <c r="U22" s="32" t="str">
        <f t="shared" si="11"/>
        <v/>
      </c>
      <c r="V22" s="32" t="str">
        <f t="shared" si="12"/>
        <v/>
      </c>
      <c r="W22" s="32" t="str">
        <f t="shared" si="13"/>
        <v/>
      </c>
      <c r="X22" s="32" t="str">
        <f t="shared" si="14"/>
        <v/>
      </c>
      <c r="Y22" s="32" t="str">
        <f t="shared" si="15"/>
        <v/>
      </c>
      <c r="Z22" s="32" t="str">
        <f t="shared" si="16"/>
        <v/>
      </c>
      <c r="AA22" s="32" t="str">
        <f t="shared" si="17"/>
        <v/>
      </c>
      <c r="AB22" s="32" t="str">
        <f t="shared" si="18"/>
        <v/>
      </c>
      <c r="AC22" s="35" t="str">
        <f t="shared" si="19"/>
        <v/>
      </c>
      <c r="AD22" s="32" t="str">
        <f t="shared" si="20"/>
        <v/>
      </c>
      <c r="AE22" s="32" t="str">
        <f t="shared" si="21"/>
        <v/>
      </c>
      <c r="AF22" s="32" t="str">
        <f t="shared" si="22"/>
        <v/>
      </c>
      <c r="AG22" s="32" t="str">
        <f t="shared" si="23"/>
        <v/>
      </c>
      <c r="AH22" s="32" t="str">
        <f t="shared" si="24"/>
        <v/>
      </c>
      <c r="AI22" s="32" t="str">
        <f t="shared" si="25"/>
        <v/>
      </c>
      <c r="AJ22" s="32" t="str">
        <f t="shared" si="26"/>
        <v/>
      </c>
      <c r="AK22" s="61" t="str">
        <f t="shared" si="27"/>
        <v/>
      </c>
      <c r="AL22" s="54"/>
      <c r="AM22" s="60" t="str">
        <f t="shared" si="28"/>
        <v/>
      </c>
      <c r="AN22" s="38"/>
      <c r="AO22" s="32" t="str">
        <f t="shared" si="29"/>
        <v/>
      </c>
      <c r="AP22" s="32" t="str">
        <f t="shared" si="30"/>
        <v/>
      </c>
      <c r="AQ22" s="32" t="str">
        <f t="shared" si="31"/>
        <v/>
      </c>
      <c r="AR22" s="32" t="str">
        <f t="shared" si="32"/>
        <v/>
      </c>
      <c r="AS22" s="32" t="str">
        <f t="shared" si="33"/>
        <v/>
      </c>
      <c r="AT22" s="32" t="str">
        <f t="shared" si="34"/>
        <v/>
      </c>
      <c r="AU22" s="32" t="str">
        <f t="shared" si="35"/>
        <v/>
      </c>
      <c r="AV22" s="32" t="str">
        <f t="shared" si="36"/>
        <v/>
      </c>
      <c r="AW22" s="32" t="str">
        <f t="shared" si="37"/>
        <v/>
      </c>
      <c r="AX22" s="32" t="str">
        <f t="shared" si="38"/>
        <v/>
      </c>
      <c r="AY22" s="32" t="str">
        <f t="shared" si="39"/>
        <v/>
      </c>
      <c r="AZ22" s="32" t="str">
        <f t="shared" si="40"/>
        <v/>
      </c>
      <c r="BA22" s="32" t="str">
        <f t="shared" si="41"/>
        <v/>
      </c>
      <c r="BB22" s="70"/>
      <c r="BC22" s="71" t="str">
        <f t="shared" si="42"/>
        <v/>
      </c>
      <c r="BD22" s="55"/>
      <c r="BE22" s="62" t="str">
        <f t="shared" si="43"/>
        <v/>
      </c>
      <c r="BF22" s="35" t="str">
        <f t="shared" si="44"/>
        <v/>
      </c>
      <c r="BG22" s="38"/>
      <c r="BH22" s="35" t="str">
        <f t="shared" si="45"/>
        <v/>
      </c>
      <c r="BI22" s="35" t="str">
        <f t="shared" si="46"/>
        <v/>
      </c>
      <c r="BJ22" s="38"/>
      <c r="BK22" s="35" t="str">
        <f t="shared" si="47"/>
        <v/>
      </c>
      <c r="BL22" s="35" t="str">
        <f t="shared" si="48"/>
        <v/>
      </c>
      <c r="BM22" s="38"/>
      <c r="BN22" s="35" t="str">
        <f t="shared" si="49"/>
        <v/>
      </c>
      <c r="BO22" s="35" t="str">
        <f t="shared" si="50"/>
        <v/>
      </c>
      <c r="BP22" s="32" t="str">
        <f t="shared" si="51"/>
        <v/>
      </c>
      <c r="BQ22" s="35" t="str">
        <f t="shared" si="52"/>
        <v/>
      </c>
      <c r="BR22" s="37" t="str">
        <f t="shared" si="53"/>
        <v/>
      </c>
      <c r="BS22" s="1"/>
    </row>
    <row r="23" spans="2:71" ht="70.5" customHeight="1" x14ac:dyDescent="0.25">
      <c r="B23" s="63"/>
      <c r="C23" s="64" t="str">
        <f>IFERROR(VLOOKUP(B23,Table_PrewrittenCode[#All],2,0),"")</f>
        <v/>
      </c>
      <c r="D23" s="32" t="str">
        <f>IFERROR(VLOOKUP(B23,Table_PrewrittenCode[#All],3,0),"")</f>
        <v/>
      </c>
      <c r="E23" s="54"/>
      <c r="F23" s="58" t="str">
        <f t="shared" si="0"/>
        <v/>
      </c>
      <c r="G23" s="54"/>
      <c r="H23" s="59" t="str">
        <f t="shared" si="1"/>
        <v/>
      </c>
      <c r="I23" s="48" t="str">
        <f t="shared" si="2"/>
        <v/>
      </c>
      <c r="J23" s="54"/>
      <c r="K23" s="60" t="str">
        <f t="shared" si="3"/>
        <v/>
      </c>
      <c r="L23" s="32" t="str">
        <f t="shared" si="4"/>
        <v/>
      </c>
      <c r="M23" s="32" t="str">
        <f t="shared" si="5"/>
        <v/>
      </c>
      <c r="N23" s="55"/>
      <c r="O23" s="66" t="str">
        <f t="shared" si="6"/>
        <v/>
      </c>
      <c r="P23" s="65"/>
      <c r="Q23" s="60" t="str">
        <f t="shared" si="7"/>
        <v/>
      </c>
      <c r="R23" s="32" t="str">
        <f t="shared" si="8"/>
        <v/>
      </c>
      <c r="S23" s="34" t="str">
        <f t="shared" si="9"/>
        <v/>
      </c>
      <c r="T23" s="32" t="str">
        <f t="shared" si="10"/>
        <v/>
      </c>
      <c r="U23" s="32" t="str">
        <f t="shared" si="11"/>
        <v/>
      </c>
      <c r="V23" s="32" t="str">
        <f t="shared" si="12"/>
        <v/>
      </c>
      <c r="W23" s="32" t="str">
        <f t="shared" si="13"/>
        <v/>
      </c>
      <c r="X23" s="32" t="str">
        <f t="shared" si="14"/>
        <v/>
      </c>
      <c r="Y23" s="32" t="str">
        <f t="shared" si="15"/>
        <v/>
      </c>
      <c r="Z23" s="32" t="str">
        <f t="shared" si="16"/>
        <v/>
      </c>
      <c r="AA23" s="32" t="str">
        <f t="shared" si="17"/>
        <v/>
      </c>
      <c r="AB23" s="32" t="str">
        <f t="shared" si="18"/>
        <v/>
      </c>
      <c r="AC23" s="35" t="str">
        <f t="shared" si="19"/>
        <v/>
      </c>
      <c r="AD23" s="32" t="str">
        <f t="shared" si="20"/>
        <v/>
      </c>
      <c r="AE23" s="32" t="str">
        <f t="shared" si="21"/>
        <v/>
      </c>
      <c r="AF23" s="32" t="str">
        <f t="shared" si="22"/>
        <v/>
      </c>
      <c r="AG23" s="32" t="str">
        <f t="shared" si="23"/>
        <v/>
      </c>
      <c r="AH23" s="32" t="str">
        <f t="shared" si="24"/>
        <v/>
      </c>
      <c r="AI23" s="32" t="str">
        <f t="shared" si="25"/>
        <v/>
      </c>
      <c r="AJ23" s="32" t="str">
        <f t="shared" si="26"/>
        <v/>
      </c>
      <c r="AK23" s="61" t="str">
        <f t="shared" si="27"/>
        <v/>
      </c>
      <c r="AL23" s="54"/>
      <c r="AM23" s="60" t="str">
        <f t="shared" si="28"/>
        <v/>
      </c>
      <c r="AN23" s="38"/>
      <c r="AO23" s="32" t="str">
        <f t="shared" si="29"/>
        <v/>
      </c>
      <c r="AP23" s="32" t="str">
        <f t="shared" si="30"/>
        <v/>
      </c>
      <c r="AQ23" s="32" t="str">
        <f t="shared" si="31"/>
        <v/>
      </c>
      <c r="AR23" s="32" t="str">
        <f t="shared" si="32"/>
        <v/>
      </c>
      <c r="AS23" s="32" t="str">
        <f t="shared" si="33"/>
        <v/>
      </c>
      <c r="AT23" s="32" t="str">
        <f t="shared" si="34"/>
        <v/>
      </c>
      <c r="AU23" s="32" t="str">
        <f t="shared" si="35"/>
        <v/>
      </c>
      <c r="AV23" s="32" t="str">
        <f t="shared" si="36"/>
        <v/>
      </c>
      <c r="AW23" s="32" t="str">
        <f t="shared" si="37"/>
        <v/>
      </c>
      <c r="AX23" s="32" t="str">
        <f t="shared" si="38"/>
        <v/>
      </c>
      <c r="AY23" s="32" t="str">
        <f t="shared" si="39"/>
        <v/>
      </c>
      <c r="AZ23" s="32" t="str">
        <f t="shared" si="40"/>
        <v/>
      </c>
      <c r="BA23" s="32" t="str">
        <f t="shared" si="41"/>
        <v/>
      </c>
      <c r="BB23" s="70"/>
      <c r="BC23" s="71" t="str">
        <f t="shared" si="42"/>
        <v/>
      </c>
      <c r="BD23" s="55"/>
      <c r="BE23" s="62" t="str">
        <f t="shared" si="43"/>
        <v/>
      </c>
      <c r="BF23" s="35" t="str">
        <f t="shared" si="44"/>
        <v/>
      </c>
      <c r="BG23" s="38"/>
      <c r="BH23" s="35" t="str">
        <f t="shared" si="45"/>
        <v/>
      </c>
      <c r="BI23" s="35" t="str">
        <f t="shared" si="46"/>
        <v/>
      </c>
      <c r="BJ23" s="38"/>
      <c r="BK23" s="35" t="str">
        <f t="shared" si="47"/>
        <v/>
      </c>
      <c r="BL23" s="35" t="str">
        <f t="shared" si="48"/>
        <v/>
      </c>
      <c r="BM23" s="38"/>
      <c r="BN23" s="35" t="str">
        <f t="shared" si="49"/>
        <v/>
      </c>
      <c r="BO23" s="35" t="str">
        <f t="shared" si="50"/>
        <v/>
      </c>
      <c r="BP23" s="32" t="str">
        <f t="shared" si="51"/>
        <v/>
      </c>
      <c r="BQ23" s="35" t="str">
        <f t="shared" si="52"/>
        <v/>
      </c>
      <c r="BR23" s="37" t="str">
        <f t="shared" si="53"/>
        <v/>
      </c>
      <c r="BS23" s="1"/>
    </row>
    <row r="24" spans="2:71" ht="70.5" customHeight="1" x14ac:dyDescent="0.25">
      <c r="B24" s="63"/>
      <c r="C24" s="64" t="str">
        <f>IFERROR(VLOOKUP(B24,Table_PrewrittenCode[#All],2,0),"")</f>
        <v/>
      </c>
      <c r="D24" s="32" t="str">
        <f>IFERROR(VLOOKUP(B24,Table_PrewrittenCode[#All],3,0),"")</f>
        <v/>
      </c>
      <c r="E24" s="54"/>
      <c r="F24" s="58" t="str">
        <f t="shared" si="0"/>
        <v/>
      </c>
      <c r="G24" s="54"/>
      <c r="H24" s="59" t="str">
        <f t="shared" si="1"/>
        <v/>
      </c>
      <c r="I24" s="48" t="str">
        <f t="shared" si="2"/>
        <v/>
      </c>
      <c r="J24" s="54"/>
      <c r="K24" s="60" t="str">
        <f t="shared" si="3"/>
        <v/>
      </c>
      <c r="L24" s="32" t="str">
        <f t="shared" si="4"/>
        <v/>
      </c>
      <c r="M24" s="32" t="str">
        <f t="shared" si="5"/>
        <v/>
      </c>
      <c r="N24" s="55"/>
      <c r="O24" s="66" t="str">
        <f t="shared" si="6"/>
        <v/>
      </c>
      <c r="P24" s="65"/>
      <c r="Q24" s="60" t="str">
        <f t="shared" si="7"/>
        <v/>
      </c>
      <c r="R24" s="32" t="str">
        <f t="shared" si="8"/>
        <v/>
      </c>
      <c r="S24" s="34" t="str">
        <f t="shared" si="9"/>
        <v/>
      </c>
      <c r="T24" s="32" t="str">
        <f t="shared" si="10"/>
        <v/>
      </c>
      <c r="U24" s="32" t="str">
        <f t="shared" si="11"/>
        <v/>
      </c>
      <c r="V24" s="32" t="str">
        <f t="shared" si="12"/>
        <v/>
      </c>
      <c r="W24" s="32" t="str">
        <f t="shared" si="13"/>
        <v/>
      </c>
      <c r="X24" s="32" t="str">
        <f t="shared" si="14"/>
        <v/>
      </c>
      <c r="Y24" s="32" t="str">
        <f t="shared" si="15"/>
        <v/>
      </c>
      <c r="Z24" s="32" t="str">
        <f t="shared" si="16"/>
        <v/>
      </c>
      <c r="AA24" s="32" t="str">
        <f t="shared" si="17"/>
        <v/>
      </c>
      <c r="AB24" s="32" t="str">
        <f t="shared" si="18"/>
        <v/>
      </c>
      <c r="AC24" s="35" t="str">
        <f t="shared" si="19"/>
        <v/>
      </c>
      <c r="AD24" s="32" t="str">
        <f t="shared" si="20"/>
        <v/>
      </c>
      <c r="AE24" s="32" t="str">
        <f t="shared" si="21"/>
        <v/>
      </c>
      <c r="AF24" s="32" t="str">
        <f t="shared" si="22"/>
        <v/>
      </c>
      <c r="AG24" s="32" t="str">
        <f t="shared" si="23"/>
        <v/>
      </c>
      <c r="AH24" s="32" t="str">
        <f t="shared" si="24"/>
        <v/>
      </c>
      <c r="AI24" s="32" t="str">
        <f t="shared" si="25"/>
        <v/>
      </c>
      <c r="AJ24" s="32" t="str">
        <f t="shared" si="26"/>
        <v/>
      </c>
      <c r="AK24" s="61" t="str">
        <f t="shared" si="27"/>
        <v/>
      </c>
      <c r="AL24" s="54"/>
      <c r="AM24" s="60" t="str">
        <f t="shared" si="28"/>
        <v/>
      </c>
      <c r="AN24" s="38"/>
      <c r="AO24" s="32" t="str">
        <f t="shared" si="29"/>
        <v/>
      </c>
      <c r="AP24" s="32" t="str">
        <f t="shared" si="30"/>
        <v/>
      </c>
      <c r="AQ24" s="32" t="str">
        <f t="shared" si="31"/>
        <v/>
      </c>
      <c r="AR24" s="32" t="str">
        <f t="shared" si="32"/>
        <v/>
      </c>
      <c r="AS24" s="32" t="str">
        <f t="shared" si="33"/>
        <v/>
      </c>
      <c r="AT24" s="32" t="str">
        <f t="shared" si="34"/>
        <v/>
      </c>
      <c r="AU24" s="32" t="str">
        <f t="shared" si="35"/>
        <v/>
      </c>
      <c r="AV24" s="32" t="str">
        <f t="shared" si="36"/>
        <v/>
      </c>
      <c r="AW24" s="32" t="str">
        <f t="shared" si="37"/>
        <v/>
      </c>
      <c r="AX24" s="32" t="str">
        <f t="shared" si="38"/>
        <v/>
      </c>
      <c r="AY24" s="32" t="str">
        <f t="shared" si="39"/>
        <v/>
      </c>
      <c r="AZ24" s="32" t="str">
        <f t="shared" si="40"/>
        <v/>
      </c>
      <c r="BA24" s="32" t="str">
        <f t="shared" si="41"/>
        <v/>
      </c>
      <c r="BB24" s="70"/>
      <c r="BC24" s="71" t="str">
        <f t="shared" si="42"/>
        <v/>
      </c>
      <c r="BD24" s="55"/>
      <c r="BE24" s="62" t="str">
        <f t="shared" si="43"/>
        <v/>
      </c>
      <c r="BF24" s="35" t="str">
        <f t="shared" si="44"/>
        <v/>
      </c>
      <c r="BG24" s="38"/>
      <c r="BH24" s="35" t="str">
        <f t="shared" si="45"/>
        <v/>
      </c>
      <c r="BI24" s="35" t="str">
        <f t="shared" si="46"/>
        <v/>
      </c>
      <c r="BJ24" s="38"/>
      <c r="BK24" s="35" t="str">
        <f t="shared" si="47"/>
        <v/>
      </c>
      <c r="BL24" s="35" t="str">
        <f t="shared" si="48"/>
        <v/>
      </c>
      <c r="BM24" s="38"/>
      <c r="BN24" s="35" t="str">
        <f t="shared" si="49"/>
        <v/>
      </c>
      <c r="BO24" s="35" t="str">
        <f t="shared" si="50"/>
        <v/>
      </c>
      <c r="BP24" s="32" t="str">
        <f t="shared" si="51"/>
        <v/>
      </c>
      <c r="BQ24" s="35" t="str">
        <f t="shared" si="52"/>
        <v/>
      </c>
      <c r="BR24" s="37" t="str">
        <f t="shared" si="53"/>
        <v/>
      </c>
      <c r="BS24" s="1"/>
    </row>
    <row r="25" spans="2:71" ht="70.5" customHeight="1" x14ac:dyDescent="0.25">
      <c r="B25" s="63"/>
      <c r="C25" s="64" t="str">
        <f>IFERROR(VLOOKUP(B25,Table_PrewrittenCode[#All],2,0),"")</f>
        <v/>
      </c>
      <c r="D25" s="32" t="str">
        <f>IFERROR(VLOOKUP(B25,Table_PrewrittenCode[#All],3,0),"")</f>
        <v/>
      </c>
      <c r="E25" s="54"/>
      <c r="F25" s="58" t="str">
        <f t="shared" si="0"/>
        <v/>
      </c>
      <c r="G25" s="54"/>
      <c r="H25" s="59" t="str">
        <f t="shared" si="1"/>
        <v/>
      </c>
      <c r="I25" s="48" t="str">
        <f t="shared" si="2"/>
        <v/>
      </c>
      <c r="J25" s="54"/>
      <c r="K25" s="60" t="str">
        <f t="shared" si="3"/>
        <v/>
      </c>
      <c r="L25" s="32" t="str">
        <f t="shared" si="4"/>
        <v/>
      </c>
      <c r="M25" s="32" t="str">
        <f t="shared" si="5"/>
        <v/>
      </c>
      <c r="N25" s="55"/>
      <c r="O25" s="66" t="str">
        <f t="shared" si="6"/>
        <v/>
      </c>
      <c r="P25" s="65"/>
      <c r="Q25" s="60" t="str">
        <f t="shared" si="7"/>
        <v/>
      </c>
      <c r="R25" s="32" t="str">
        <f t="shared" si="8"/>
        <v/>
      </c>
      <c r="S25" s="34" t="str">
        <f t="shared" si="9"/>
        <v/>
      </c>
      <c r="T25" s="32" t="str">
        <f t="shared" si="10"/>
        <v/>
      </c>
      <c r="U25" s="32" t="str">
        <f t="shared" si="11"/>
        <v/>
      </c>
      <c r="V25" s="32" t="str">
        <f t="shared" si="12"/>
        <v/>
      </c>
      <c r="W25" s="32" t="str">
        <f t="shared" si="13"/>
        <v/>
      </c>
      <c r="X25" s="32" t="str">
        <f t="shared" si="14"/>
        <v/>
      </c>
      <c r="Y25" s="32" t="str">
        <f t="shared" si="15"/>
        <v/>
      </c>
      <c r="Z25" s="32" t="str">
        <f t="shared" si="16"/>
        <v/>
      </c>
      <c r="AA25" s="32" t="str">
        <f t="shared" si="17"/>
        <v/>
      </c>
      <c r="AB25" s="32" t="str">
        <f t="shared" si="18"/>
        <v/>
      </c>
      <c r="AC25" s="35" t="str">
        <f t="shared" si="19"/>
        <v/>
      </c>
      <c r="AD25" s="32" t="str">
        <f t="shared" si="20"/>
        <v/>
      </c>
      <c r="AE25" s="32" t="str">
        <f t="shared" si="21"/>
        <v/>
      </c>
      <c r="AF25" s="32" t="str">
        <f t="shared" si="22"/>
        <v/>
      </c>
      <c r="AG25" s="32" t="str">
        <f t="shared" si="23"/>
        <v/>
      </c>
      <c r="AH25" s="32" t="str">
        <f t="shared" si="24"/>
        <v/>
      </c>
      <c r="AI25" s="32" t="str">
        <f t="shared" si="25"/>
        <v/>
      </c>
      <c r="AJ25" s="32" t="str">
        <f t="shared" si="26"/>
        <v/>
      </c>
      <c r="AK25" s="61" t="str">
        <f t="shared" si="27"/>
        <v/>
      </c>
      <c r="AL25" s="54"/>
      <c r="AM25" s="60" t="str">
        <f t="shared" si="28"/>
        <v/>
      </c>
      <c r="AN25" s="38"/>
      <c r="AO25" s="32" t="str">
        <f t="shared" si="29"/>
        <v/>
      </c>
      <c r="AP25" s="32" t="str">
        <f t="shared" si="30"/>
        <v/>
      </c>
      <c r="AQ25" s="32" t="str">
        <f t="shared" si="31"/>
        <v/>
      </c>
      <c r="AR25" s="32" t="str">
        <f t="shared" si="32"/>
        <v/>
      </c>
      <c r="AS25" s="32" t="str">
        <f t="shared" si="33"/>
        <v/>
      </c>
      <c r="AT25" s="32" t="str">
        <f t="shared" si="34"/>
        <v/>
      </c>
      <c r="AU25" s="32" t="str">
        <f t="shared" si="35"/>
        <v/>
      </c>
      <c r="AV25" s="32" t="str">
        <f t="shared" si="36"/>
        <v/>
      </c>
      <c r="AW25" s="32" t="str">
        <f t="shared" si="37"/>
        <v/>
      </c>
      <c r="AX25" s="32" t="str">
        <f t="shared" si="38"/>
        <v/>
      </c>
      <c r="AY25" s="32" t="str">
        <f t="shared" si="39"/>
        <v/>
      </c>
      <c r="AZ25" s="32" t="str">
        <f t="shared" si="40"/>
        <v/>
      </c>
      <c r="BA25" s="32" t="str">
        <f t="shared" si="41"/>
        <v/>
      </c>
      <c r="BB25" s="70"/>
      <c r="BC25" s="71" t="str">
        <f t="shared" si="42"/>
        <v/>
      </c>
      <c r="BD25" s="55"/>
      <c r="BE25" s="62" t="str">
        <f t="shared" si="43"/>
        <v/>
      </c>
      <c r="BF25" s="35" t="str">
        <f t="shared" si="44"/>
        <v/>
      </c>
      <c r="BG25" s="38"/>
      <c r="BH25" s="35" t="str">
        <f t="shared" si="45"/>
        <v/>
      </c>
      <c r="BI25" s="35" t="str">
        <f t="shared" si="46"/>
        <v/>
      </c>
      <c r="BJ25" s="38"/>
      <c r="BK25" s="35" t="str">
        <f t="shared" si="47"/>
        <v/>
      </c>
      <c r="BL25" s="35" t="str">
        <f t="shared" si="48"/>
        <v/>
      </c>
      <c r="BM25" s="38"/>
      <c r="BN25" s="35" t="str">
        <f t="shared" si="49"/>
        <v/>
      </c>
      <c r="BO25" s="35" t="str">
        <f t="shared" si="50"/>
        <v/>
      </c>
      <c r="BP25" s="32" t="str">
        <f t="shared" si="51"/>
        <v/>
      </c>
      <c r="BQ25" s="35" t="str">
        <f t="shared" si="52"/>
        <v/>
      </c>
      <c r="BR25" s="37" t="str">
        <f t="shared" si="53"/>
        <v/>
      </c>
      <c r="BS25" s="1"/>
    </row>
    <row r="26" spans="2:71" ht="70.5" customHeight="1" x14ac:dyDescent="0.25">
      <c r="B26" s="63"/>
      <c r="C26" s="64" t="str">
        <f>IFERROR(VLOOKUP(B26,Table_PrewrittenCode[#All],2,0),"")</f>
        <v/>
      </c>
      <c r="D26" s="32" t="str">
        <f>IFERROR(VLOOKUP(B26,Table_PrewrittenCode[#All],3,0),"")</f>
        <v/>
      </c>
      <c r="E26" s="54"/>
      <c r="F26" s="58" t="str">
        <f t="shared" si="0"/>
        <v/>
      </c>
      <c r="G26" s="54"/>
      <c r="H26" s="59" t="str">
        <f t="shared" si="1"/>
        <v/>
      </c>
      <c r="I26" s="48" t="str">
        <f t="shared" si="2"/>
        <v/>
      </c>
      <c r="J26" s="54"/>
      <c r="K26" s="60" t="str">
        <f t="shared" si="3"/>
        <v/>
      </c>
      <c r="L26" s="32" t="str">
        <f t="shared" si="4"/>
        <v/>
      </c>
      <c r="M26" s="32" t="str">
        <f t="shared" si="5"/>
        <v/>
      </c>
      <c r="N26" s="55"/>
      <c r="O26" s="66" t="str">
        <f t="shared" si="6"/>
        <v/>
      </c>
      <c r="P26" s="65"/>
      <c r="Q26" s="60" t="str">
        <f t="shared" si="7"/>
        <v/>
      </c>
      <c r="R26" s="32" t="str">
        <f t="shared" si="8"/>
        <v/>
      </c>
      <c r="S26" s="34" t="str">
        <f t="shared" si="9"/>
        <v/>
      </c>
      <c r="T26" s="32" t="str">
        <f t="shared" si="10"/>
        <v/>
      </c>
      <c r="U26" s="32" t="str">
        <f t="shared" si="11"/>
        <v/>
      </c>
      <c r="V26" s="32" t="str">
        <f t="shared" si="12"/>
        <v/>
      </c>
      <c r="W26" s="32" t="str">
        <f t="shared" si="13"/>
        <v/>
      </c>
      <c r="X26" s="32" t="str">
        <f t="shared" si="14"/>
        <v/>
      </c>
      <c r="Y26" s="32" t="str">
        <f t="shared" si="15"/>
        <v/>
      </c>
      <c r="Z26" s="32" t="str">
        <f t="shared" si="16"/>
        <v/>
      </c>
      <c r="AA26" s="32" t="str">
        <f t="shared" si="17"/>
        <v/>
      </c>
      <c r="AB26" s="32" t="str">
        <f t="shared" si="18"/>
        <v/>
      </c>
      <c r="AC26" s="35" t="str">
        <f t="shared" si="19"/>
        <v/>
      </c>
      <c r="AD26" s="32" t="str">
        <f t="shared" si="20"/>
        <v/>
      </c>
      <c r="AE26" s="32" t="str">
        <f t="shared" si="21"/>
        <v/>
      </c>
      <c r="AF26" s="32" t="str">
        <f t="shared" si="22"/>
        <v/>
      </c>
      <c r="AG26" s="32" t="str">
        <f t="shared" si="23"/>
        <v/>
      </c>
      <c r="AH26" s="32" t="str">
        <f t="shared" si="24"/>
        <v/>
      </c>
      <c r="AI26" s="32" t="str">
        <f t="shared" si="25"/>
        <v/>
      </c>
      <c r="AJ26" s="32" t="str">
        <f t="shared" si="26"/>
        <v/>
      </c>
      <c r="AK26" s="61" t="str">
        <f t="shared" si="27"/>
        <v/>
      </c>
      <c r="AL26" s="54"/>
      <c r="AM26" s="60" t="str">
        <f t="shared" si="28"/>
        <v/>
      </c>
      <c r="AN26" s="38"/>
      <c r="AO26" s="32" t="str">
        <f t="shared" si="29"/>
        <v/>
      </c>
      <c r="AP26" s="32" t="str">
        <f t="shared" si="30"/>
        <v/>
      </c>
      <c r="AQ26" s="32" t="str">
        <f t="shared" si="31"/>
        <v/>
      </c>
      <c r="AR26" s="32" t="str">
        <f t="shared" si="32"/>
        <v/>
      </c>
      <c r="AS26" s="32" t="str">
        <f t="shared" si="33"/>
        <v/>
      </c>
      <c r="AT26" s="32" t="str">
        <f t="shared" si="34"/>
        <v/>
      </c>
      <c r="AU26" s="32" t="str">
        <f t="shared" si="35"/>
        <v/>
      </c>
      <c r="AV26" s="32" t="str">
        <f t="shared" si="36"/>
        <v/>
      </c>
      <c r="AW26" s="32" t="str">
        <f t="shared" si="37"/>
        <v/>
      </c>
      <c r="AX26" s="32" t="str">
        <f t="shared" si="38"/>
        <v/>
      </c>
      <c r="AY26" s="32" t="str">
        <f t="shared" si="39"/>
        <v/>
      </c>
      <c r="AZ26" s="32" t="str">
        <f t="shared" si="40"/>
        <v/>
      </c>
      <c r="BA26" s="32" t="str">
        <f t="shared" si="41"/>
        <v/>
      </c>
      <c r="BB26" s="70"/>
      <c r="BC26" s="71" t="str">
        <f t="shared" si="42"/>
        <v/>
      </c>
      <c r="BD26" s="55"/>
      <c r="BE26" s="62" t="str">
        <f t="shared" si="43"/>
        <v/>
      </c>
      <c r="BF26" s="35" t="str">
        <f t="shared" si="44"/>
        <v/>
      </c>
      <c r="BG26" s="38"/>
      <c r="BH26" s="35" t="str">
        <f t="shared" si="45"/>
        <v/>
      </c>
      <c r="BI26" s="35" t="str">
        <f t="shared" si="46"/>
        <v/>
      </c>
      <c r="BJ26" s="38"/>
      <c r="BK26" s="35" t="str">
        <f t="shared" si="47"/>
        <v/>
      </c>
      <c r="BL26" s="35" t="str">
        <f t="shared" si="48"/>
        <v/>
      </c>
      <c r="BM26" s="38"/>
      <c r="BN26" s="35" t="str">
        <f t="shared" si="49"/>
        <v/>
      </c>
      <c r="BO26" s="35" t="str">
        <f t="shared" si="50"/>
        <v/>
      </c>
      <c r="BP26" s="32" t="str">
        <f t="shared" si="51"/>
        <v/>
      </c>
      <c r="BQ26" s="35" t="str">
        <f t="shared" si="52"/>
        <v/>
      </c>
      <c r="BR26" s="37" t="str">
        <f t="shared" si="53"/>
        <v/>
      </c>
      <c r="BS26" s="1"/>
    </row>
    <row r="27" spans="2:71" ht="70.5" customHeight="1" x14ac:dyDescent="0.25">
      <c r="B27" s="63"/>
      <c r="C27" s="64" t="str">
        <f>IFERROR(VLOOKUP(B27,Table_PrewrittenCode[#All],2,0),"")</f>
        <v/>
      </c>
      <c r="D27" s="32" t="str">
        <f>IFERROR(VLOOKUP(B27,Table_PrewrittenCode[#All],3,0),"")</f>
        <v/>
      </c>
      <c r="E27" s="54"/>
      <c r="F27" s="58" t="str">
        <f t="shared" si="0"/>
        <v/>
      </c>
      <c r="G27" s="54"/>
      <c r="H27" s="59" t="str">
        <f t="shared" si="1"/>
        <v/>
      </c>
      <c r="I27" s="48" t="str">
        <f t="shared" si="2"/>
        <v/>
      </c>
      <c r="J27" s="54"/>
      <c r="K27" s="60" t="str">
        <f t="shared" si="3"/>
        <v/>
      </c>
      <c r="L27" s="32" t="str">
        <f t="shared" si="4"/>
        <v/>
      </c>
      <c r="M27" s="32" t="str">
        <f t="shared" si="5"/>
        <v/>
      </c>
      <c r="N27" s="55"/>
      <c r="O27" s="66" t="str">
        <f t="shared" si="6"/>
        <v/>
      </c>
      <c r="P27" s="65"/>
      <c r="Q27" s="60" t="str">
        <f t="shared" si="7"/>
        <v/>
      </c>
      <c r="R27" s="32" t="str">
        <f t="shared" si="8"/>
        <v/>
      </c>
      <c r="S27" s="34" t="str">
        <f t="shared" si="9"/>
        <v/>
      </c>
      <c r="T27" s="32" t="str">
        <f t="shared" si="10"/>
        <v/>
      </c>
      <c r="U27" s="32" t="str">
        <f t="shared" si="11"/>
        <v/>
      </c>
      <c r="V27" s="32" t="str">
        <f t="shared" si="12"/>
        <v/>
      </c>
      <c r="W27" s="32" t="str">
        <f t="shared" si="13"/>
        <v/>
      </c>
      <c r="X27" s="32" t="str">
        <f t="shared" si="14"/>
        <v/>
      </c>
      <c r="Y27" s="32" t="str">
        <f t="shared" si="15"/>
        <v/>
      </c>
      <c r="Z27" s="32" t="str">
        <f t="shared" si="16"/>
        <v/>
      </c>
      <c r="AA27" s="32" t="str">
        <f t="shared" si="17"/>
        <v/>
      </c>
      <c r="AB27" s="32" t="str">
        <f t="shared" si="18"/>
        <v/>
      </c>
      <c r="AC27" s="35" t="str">
        <f t="shared" si="19"/>
        <v/>
      </c>
      <c r="AD27" s="32" t="str">
        <f t="shared" si="20"/>
        <v/>
      </c>
      <c r="AE27" s="32" t="str">
        <f t="shared" si="21"/>
        <v/>
      </c>
      <c r="AF27" s="32" t="str">
        <f t="shared" si="22"/>
        <v/>
      </c>
      <c r="AG27" s="32" t="str">
        <f t="shared" si="23"/>
        <v/>
      </c>
      <c r="AH27" s="32" t="str">
        <f t="shared" si="24"/>
        <v/>
      </c>
      <c r="AI27" s="32" t="str">
        <f t="shared" si="25"/>
        <v/>
      </c>
      <c r="AJ27" s="32" t="str">
        <f t="shared" si="26"/>
        <v/>
      </c>
      <c r="AK27" s="61" t="str">
        <f t="shared" si="27"/>
        <v/>
      </c>
      <c r="AL27" s="54"/>
      <c r="AM27" s="60" t="str">
        <f t="shared" si="28"/>
        <v/>
      </c>
      <c r="AN27" s="38"/>
      <c r="AO27" s="32" t="str">
        <f t="shared" si="29"/>
        <v/>
      </c>
      <c r="AP27" s="32" t="str">
        <f t="shared" si="30"/>
        <v/>
      </c>
      <c r="AQ27" s="32" t="str">
        <f t="shared" si="31"/>
        <v/>
      </c>
      <c r="AR27" s="32" t="str">
        <f t="shared" si="32"/>
        <v/>
      </c>
      <c r="AS27" s="32" t="str">
        <f t="shared" si="33"/>
        <v/>
      </c>
      <c r="AT27" s="32" t="str">
        <f t="shared" si="34"/>
        <v/>
      </c>
      <c r="AU27" s="32" t="str">
        <f t="shared" si="35"/>
        <v/>
      </c>
      <c r="AV27" s="32" t="str">
        <f t="shared" si="36"/>
        <v/>
      </c>
      <c r="AW27" s="32" t="str">
        <f t="shared" si="37"/>
        <v/>
      </c>
      <c r="AX27" s="32" t="str">
        <f t="shared" si="38"/>
        <v/>
      </c>
      <c r="AY27" s="32" t="str">
        <f t="shared" si="39"/>
        <v/>
      </c>
      <c r="AZ27" s="32" t="str">
        <f t="shared" si="40"/>
        <v/>
      </c>
      <c r="BA27" s="32" t="str">
        <f t="shared" si="41"/>
        <v/>
      </c>
      <c r="BB27" s="70"/>
      <c r="BC27" s="71" t="str">
        <f t="shared" si="42"/>
        <v/>
      </c>
      <c r="BD27" s="55"/>
      <c r="BE27" s="62" t="str">
        <f t="shared" si="43"/>
        <v/>
      </c>
      <c r="BF27" s="35" t="str">
        <f t="shared" si="44"/>
        <v/>
      </c>
      <c r="BG27" s="38"/>
      <c r="BH27" s="35" t="str">
        <f t="shared" si="45"/>
        <v/>
      </c>
      <c r="BI27" s="35" t="str">
        <f t="shared" si="46"/>
        <v/>
      </c>
      <c r="BJ27" s="38"/>
      <c r="BK27" s="35" t="str">
        <f t="shared" si="47"/>
        <v/>
      </c>
      <c r="BL27" s="35" t="str">
        <f t="shared" si="48"/>
        <v/>
      </c>
      <c r="BM27" s="38"/>
      <c r="BN27" s="35" t="str">
        <f t="shared" si="49"/>
        <v/>
      </c>
      <c r="BO27" s="35" t="str">
        <f t="shared" si="50"/>
        <v/>
      </c>
      <c r="BP27" s="32" t="str">
        <f t="shared" si="51"/>
        <v/>
      </c>
      <c r="BQ27" s="35" t="str">
        <f t="shared" si="52"/>
        <v/>
      </c>
      <c r="BR27" s="37" t="str">
        <f t="shared" si="53"/>
        <v/>
      </c>
      <c r="BS27" s="1"/>
    </row>
    <row r="28" spans="2:71" ht="70.5" customHeight="1" x14ac:dyDescent="0.25">
      <c r="B28" s="63"/>
      <c r="C28" s="64" t="str">
        <f>IFERROR(VLOOKUP(B28,Table_PrewrittenCode[#All],2,0),"")</f>
        <v/>
      </c>
      <c r="D28" s="32" t="str">
        <f>IFERROR(VLOOKUP(B28,Table_PrewrittenCode[#All],3,0),"")</f>
        <v/>
      </c>
      <c r="E28" s="54"/>
      <c r="F28" s="58" t="str">
        <f t="shared" si="0"/>
        <v/>
      </c>
      <c r="G28" s="54"/>
      <c r="H28" s="59" t="str">
        <f t="shared" si="1"/>
        <v/>
      </c>
      <c r="I28" s="48" t="str">
        <f t="shared" si="2"/>
        <v/>
      </c>
      <c r="J28" s="54"/>
      <c r="K28" s="60" t="str">
        <f t="shared" si="3"/>
        <v/>
      </c>
      <c r="L28" s="32" t="str">
        <f t="shared" si="4"/>
        <v/>
      </c>
      <c r="M28" s="32" t="str">
        <f t="shared" si="5"/>
        <v/>
      </c>
      <c r="N28" s="55"/>
      <c r="O28" s="66" t="str">
        <f t="shared" si="6"/>
        <v/>
      </c>
      <c r="P28" s="65"/>
      <c r="Q28" s="60" t="str">
        <f t="shared" si="7"/>
        <v/>
      </c>
      <c r="R28" s="32" t="str">
        <f t="shared" si="8"/>
        <v/>
      </c>
      <c r="S28" s="34" t="str">
        <f t="shared" si="9"/>
        <v/>
      </c>
      <c r="T28" s="32" t="str">
        <f t="shared" si="10"/>
        <v/>
      </c>
      <c r="U28" s="32" t="str">
        <f t="shared" si="11"/>
        <v/>
      </c>
      <c r="V28" s="32" t="str">
        <f t="shared" si="12"/>
        <v/>
      </c>
      <c r="W28" s="32" t="str">
        <f t="shared" si="13"/>
        <v/>
      </c>
      <c r="X28" s="32" t="str">
        <f t="shared" si="14"/>
        <v/>
      </c>
      <c r="Y28" s="32" t="str">
        <f t="shared" si="15"/>
        <v/>
      </c>
      <c r="Z28" s="32" t="str">
        <f t="shared" si="16"/>
        <v/>
      </c>
      <c r="AA28" s="32" t="str">
        <f t="shared" si="17"/>
        <v/>
      </c>
      <c r="AB28" s="32" t="str">
        <f t="shared" si="18"/>
        <v/>
      </c>
      <c r="AC28" s="35" t="str">
        <f t="shared" si="19"/>
        <v/>
      </c>
      <c r="AD28" s="32" t="str">
        <f t="shared" si="20"/>
        <v/>
      </c>
      <c r="AE28" s="32" t="str">
        <f t="shared" si="21"/>
        <v/>
      </c>
      <c r="AF28" s="32" t="str">
        <f t="shared" si="22"/>
        <v/>
      </c>
      <c r="AG28" s="32" t="str">
        <f t="shared" si="23"/>
        <v/>
      </c>
      <c r="AH28" s="32" t="str">
        <f t="shared" si="24"/>
        <v/>
      </c>
      <c r="AI28" s="32" t="str">
        <f t="shared" si="25"/>
        <v/>
      </c>
      <c r="AJ28" s="32" t="str">
        <f t="shared" si="26"/>
        <v/>
      </c>
      <c r="AK28" s="61" t="str">
        <f t="shared" si="27"/>
        <v/>
      </c>
      <c r="AL28" s="54"/>
      <c r="AM28" s="60" t="str">
        <f t="shared" si="28"/>
        <v/>
      </c>
      <c r="AN28" s="38"/>
      <c r="AO28" s="32" t="str">
        <f t="shared" si="29"/>
        <v/>
      </c>
      <c r="AP28" s="32" t="str">
        <f t="shared" si="30"/>
        <v/>
      </c>
      <c r="AQ28" s="32" t="str">
        <f t="shared" si="31"/>
        <v/>
      </c>
      <c r="AR28" s="32" t="str">
        <f t="shared" si="32"/>
        <v/>
      </c>
      <c r="AS28" s="32" t="str">
        <f t="shared" si="33"/>
        <v/>
      </c>
      <c r="AT28" s="32" t="str">
        <f t="shared" si="34"/>
        <v/>
      </c>
      <c r="AU28" s="32" t="str">
        <f t="shared" si="35"/>
        <v/>
      </c>
      <c r="AV28" s="32" t="str">
        <f t="shared" si="36"/>
        <v/>
      </c>
      <c r="AW28" s="32" t="str">
        <f t="shared" si="37"/>
        <v/>
      </c>
      <c r="AX28" s="32" t="str">
        <f t="shared" si="38"/>
        <v/>
      </c>
      <c r="AY28" s="32" t="str">
        <f t="shared" si="39"/>
        <v/>
      </c>
      <c r="AZ28" s="32" t="str">
        <f t="shared" si="40"/>
        <v/>
      </c>
      <c r="BA28" s="32" t="str">
        <f t="shared" si="41"/>
        <v/>
      </c>
      <c r="BB28" s="70"/>
      <c r="BC28" s="71" t="str">
        <f t="shared" si="42"/>
        <v/>
      </c>
      <c r="BD28" s="55"/>
      <c r="BE28" s="62" t="str">
        <f t="shared" si="43"/>
        <v/>
      </c>
      <c r="BF28" s="35" t="str">
        <f t="shared" si="44"/>
        <v/>
      </c>
      <c r="BG28" s="38"/>
      <c r="BH28" s="35" t="str">
        <f t="shared" si="45"/>
        <v/>
      </c>
      <c r="BI28" s="35" t="str">
        <f t="shared" si="46"/>
        <v/>
      </c>
      <c r="BJ28" s="38"/>
      <c r="BK28" s="35" t="str">
        <f t="shared" si="47"/>
        <v/>
      </c>
      <c r="BL28" s="35" t="str">
        <f t="shared" si="48"/>
        <v/>
      </c>
      <c r="BM28" s="38"/>
      <c r="BN28" s="35" t="str">
        <f t="shared" si="49"/>
        <v/>
      </c>
      <c r="BO28" s="35" t="str">
        <f t="shared" si="50"/>
        <v/>
      </c>
      <c r="BP28" s="32" t="str">
        <f t="shared" si="51"/>
        <v/>
      </c>
      <c r="BQ28" s="35" t="str">
        <f t="shared" si="52"/>
        <v/>
      </c>
      <c r="BR28" s="37" t="str">
        <f t="shared" si="53"/>
        <v/>
      </c>
      <c r="BS28" s="1"/>
    </row>
    <row r="29" spans="2:71" ht="70.5" customHeight="1" x14ac:dyDescent="0.25">
      <c r="B29" s="63"/>
      <c r="C29" s="64" t="str">
        <f>IFERROR(VLOOKUP(B29,Table_PrewrittenCode[#All],2,0),"")</f>
        <v/>
      </c>
      <c r="D29" s="32" t="str">
        <f>IFERROR(VLOOKUP(B29,Table_PrewrittenCode[#All],3,0),"")</f>
        <v/>
      </c>
      <c r="E29" s="54"/>
      <c r="F29" s="58" t="str">
        <f t="shared" si="0"/>
        <v/>
      </c>
      <c r="G29" s="54"/>
      <c r="H29" s="59" t="str">
        <f t="shared" si="1"/>
        <v/>
      </c>
      <c r="I29" s="48" t="str">
        <f t="shared" si="2"/>
        <v/>
      </c>
      <c r="J29" s="54"/>
      <c r="K29" s="60" t="str">
        <f t="shared" si="3"/>
        <v/>
      </c>
      <c r="L29" s="32" t="str">
        <f t="shared" si="4"/>
        <v/>
      </c>
      <c r="M29" s="32" t="str">
        <f t="shared" si="5"/>
        <v/>
      </c>
      <c r="N29" s="55"/>
      <c r="O29" s="66" t="str">
        <f t="shared" si="6"/>
        <v/>
      </c>
      <c r="P29" s="65"/>
      <c r="Q29" s="60" t="str">
        <f t="shared" si="7"/>
        <v/>
      </c>
      <c r="R29" s="32" t="str">
        <f t="shared" si="8"/>
        <v/>
      </c>
      <c r="S29" s="34" t="str">
        <f t="shared" si="9"/>
        <v/>
      </c>
      <c r="T29" s="32" t="str">
        <f t="shared" si="10"/>
        <v/>
      </c>
      <c r="U29" s="32" t="str">
        <f t="shared" si="11"/>
        <v/>
      </c>
      <c r="V29" s="32" t="str">
        <f t="shared" si="12"/>
        <v/>
      </c>
      <c r="W29" s="32" t="str">
        <f t="shared" si="13"/>
        <v/>
      </c>
      <c r="X29" s="32" t="str">
        <f t="shared" si="14"/>
        <v/>
      </c>
      <c r="Y29" s="32" t="str">
        <f t="shared" si="15"/>
        <v/>
      </c>
      <c r="Z29" s="32" t="str">
        <f t="shared" si="16"/>
        <v/>
      </c>
      <c r="AA29" s="32" t="str">
        <f t="shared" si="17"/>
        <v/>
      </c>
      <c r="AB29" s="32" t="str">
        <f t="shared" si="18"/>
        <v/>
      </c>
      <c r="AC29" s="35" t="str">
        <f t="shared" si="19"/>
        <v/>
      </c>
      <c r="AD29" s="32" t="str">
        <f t="shared" si="20"/>
        <v/>
      </c>
      <c r="AE29" s="32" t="str">
        <f t="shared" si="21"/>
        <v/>
      </c>
      <c r="AF29" s="32" t="str">
        <f t="shared" si="22"/>
        <v/>
      </c>
      <c r="AG29" s="32" t="str">
        <f t="shared" si="23"/>
        <v/>
      </c>
      <c r="AH29" s="32" t="str">
        <f t="shared" si="24"/>
        <v/>
      </c>
      <c r="AI29" s="32" t="str">
        <f t="shared" si="25"/>
        <v/>
      </c>
      <c r="AJ29" s="32" t="str">
        <f t="shared" si="26"/>
        <v/>
      </c>
      <c r="AK29" s="61" t="str">
        <f t="shared" si="27"/>
        <v/>
      </c>
      <c r="AL29" s="54"/>
      <c r="AM29" s="60" t="str">
        <f t="shared" si="28"/>
        <v/>
      </c>
      <c r="AN29" s="38"/>
      <c r="AO29" s="32" t="str">
        <f t="shared" si="29"/>
        <v/>
      </c>
      <c r="AP29" s="32" t="str">
        <f t="shared" si="30"/>
        <v/>
      </c>
      <c r="AQ29" s="32" t="str">
        <f t="shared" si="31"/>
        <v/>
      </c>
      <c r="AR29" s="32" t="str">
        <f t="shared" si="32"/>
        <v/>
      </c>
      <c r="AS29" s="32" t="str">
        <f t="shared" si="33"/>
        <v/>
      </c>
      <c r="AT29" s="32" t="str">
        <f t="shared" si="34"/>
        <v/>
      </c>
      <c r="AU29" s="32" t="str">
        <f t="shared" si="35"/>
        <v/>
      </c>
      <c r="AV29" s="32" t="str">
        <f t="shared" si="36"/>
        <v/>
      </c>
      <c r="AW29" s="32" t="str">
        <f t="shared" si="37"/>
        <v/>
      </c>
      <c r="AX29" s="32" t="str">
        <f t="shared" si="38"/>
        <v/>
      </c>
      <c r="AY29" s="32" t="str">
        <f t="shared" si="39"/>
        <v/>
      </c>
      <c r="AZ29" s="32" t="str">
        <f t="shared" si="40"/>
        <v/>
      </c>
      <c r="BA29" s="32" t="str">
        <f t="shared" si="41"/>
        <v/>
      </c>
      <c r="BB29" s="70"/>
      <c r="BC29" s="71" t="str">
        <f t="shared" si="42"/>
        <v/>
      </c>
      <c r="BD29" s="55"/>
      <c r="BE29" s="62" t="str">
        <f t="shared" si="43"/>
        <v/>
      </c>
      <c r="BF29" s="35" t="str">
        <f t="shared" si="44"/>
        <v/>
      </c>
      <c r="BG29" s="38"/>
      <c r="BH29" s="35" t="str">
        <f t="shared" si="45"/>
        <v/>
      </c>
      <c r="BI29" s="35" t="str">
        <f t="shared" si="46"/>
        <v/>
      </c>
      <c r="BJ29" s="38"/>
      <c r="BK29" s="35" t="str">
        <f t="shared" si="47"/>
        <v/>
      </c>
      <c r="BL29" s="35" t="str">
        <f t="shared" si="48"/>
        <v/>
      </c>
      <c r="BM29" s="38"/>
      <c r="BN29" s="35" t="str">
        <f t="shared" si="49"/>
        <v/>
      </c>
      <c r="BO29" s="35" t="str">
        <f t="shared" si="50"/>
        <v/>
      </c>
      <c r="BP29" s="32" t="str">
        <f t="shared" si="51"/>
        <v/>
      </c>
      <c r="BQ29" s="35" t="str">
        <f t="shared" si="52"/>
        <v/>
      </c>
      <c r="BR29" s="37" t="str">
        <f t="shared" si="53"/>
        <v/>
      </c>
      <c r="BS29" s="1"/>
    </row>
    <row r="30" spans="2:71" ht="70.5" customHeight="1" x14ac:dyDescent="0.25">
      <c r="B30" s="63"/>
      <c r="C30" s="64" t="str">
        <f>IFERROR(VLOOKUP(B30,Table_PrewrittenCode[#All],2,0),"")</f>
        <v/>
      </c>
      <c r="D30" s="32" t="str">
        <f>IFERROR(VLOOKUP(B30,Table_PrewrittenCode[#All],3,0),"")</f>
        <v/>
      </c>
      <c r="E30" s="54"/>
      <c r="F30" s="58" t="str">
        <f t="shared" si="0"/>
        <v/>
      </c>
      <c r="G30" s="54"/>
      <c r="H30" s="59" t="str">
        <f t="shared" si="1"/>
        <v/>
      </c>
      <c r="I30" s="48" t="str">
        <f t="shared" si="2"/>
        <v/>
      </c>
      <c r="J30" s="54"/>
      <c r="K30" s="60" t="str">
        <f t="shared" si="3"/>
        <v/>
      </c>
      <c r="L30" s="32" t="str">
        <f t="shared" si="4"/>
        <v/>
      </c>
      <c r="M30" s="32" t="str">
        <f t="shared" si="5"/>
        <v/>
      </c>
      <c r="N30" s="55"/>
      <c r="O30" s="66" t="str">
        <f t="shared" si="6"/>
        <v/>
      </c>
      <c r="P30" s="65"/>
      <c r="Q30" s="60" t="str">
        <f t="shared" si="7"/>
        <v/>
      </c>
      <c r="R30" s="32" t="str">
        <f t="shared" si="8"/>
        <v/>
      </c>
      <c r="S30" s="34" t="str">
        <f t="shared" si="9"/>
        <v/>
      </c>
      <c r="T30" s="32" t="str">
        <f t="shared" si="10"/>
        <v/>
      </c>
      <c r="U30" s="32" t="str">
        <f t="shared" si="11"/>
        <v/>
      </c>
      <c r="V30" s="32" t="str">
        <f t="shared" si="12"/>
        <v/>
      </c>
      <c r="W30" s="32" t="str">
        <f t="shared" si="13"/>
        <v/>
      </c>
      <c r="X30" s="32" t="str">
        <f t="shared" si="14"/>
        <v/>
      </c>
      <c r="Y30" s="32" t="str">
        <f t="shared" si="15"/>
        <v/>
      </c>
      <c r="Z30" s="32" t="str">
        <f t="shared" si="16"/>
        <v/>
      </c>
      <c r="AA30" s="32" t="str">
        <f t="shared" si="17"/>
        <v/>
      </c>
      <c r="AB30" s="32" t="str">
        <f t="shared" si="18"/>
        <v/>
      </c>
      <c r="AC30" s="35" t="str">
        <f t="shared" si="19"/>
        <v/>
      </c>
      <c r="AD30" s="32" t="str">
        <f t="shared" si="20"/>
        <v/>
      </c>
      <c r="AE30" s="32" t="str">
        <f t="shared" si="21"/>
        <v/>
      </c>
      <c r="AF30" s="32" t="str">
        <f t="shared" si="22"/>
        <v/>
      </c>
      <c r="AG30" s="32" t="str">
        <f t="shared" si="23"/>
        <v/>
      </c>
      <c r="AH30" s="32" t="str">
        <f t="shared" si="24"/>
        <v/>
      </c>
      <c r="AI30" s="32" t="str">
        <f t="shared" si="25"/>
        <v/>
      </c>
      <c r="AJ30" s="32" t="str">
        <f t="shared" si="26"/>
        <v/>
      </c>
      <c r="AK30" s="61" t="str">
        <f t="shared" si="27"/>
        <v/>
      </c>
      <c r="AL30" s="54"/>
      <c r="AM30" s="60" t="str">
        <f t="shared" si="28"/>
        <v/>
      </c>
      <c r="AN30" s="38"/>
      <c r="AO30" s="32" t="str">
        <f t="shared" si="29"/>
        <v/>
      </c>
      <c r="AP30" s="32" t="str">
        <f t="shared" si="30"/>
        <v/>
      </c>
      <c r="AQ30" s="32" t="str">
        <f t="shared" si="31"/>
        <v/>
      </c>
      <c r="AR30" s="32" t="str">
        <f t="shared" si="32"/>
        <v/>
      </c>
      <c r="AS30" s="32" t="str">
        <f t="shared" si="33"/>
        <v/>
      </c>
      <c r="AT30" s="32" t="str">
        <f t="shared" si="34"/>
        <v/>
      </c>
      <c r="AU30" s="32" t="str">
        <f t="shared" si="35"/>
        <v/>
      </c>
      <c r="AV30" s="32" t="str">
        <f t="shared" si="36"/>
        <v/>
      </c>
      <c r="AW30" s="32" t="str">
        <f t="shared" si="37"/>
        <v/>
      </c>
      <c r="AX30" s="32" t="str">
        <f t="shared" si="38"/>
        <v/>
      </c>
      <c r="AY30" s="32" t="str">
        <f t="shared" si="39"/>
        <v/>
      </c>
      <c r="AZ30" s="32" t="str">
        <f t="shared" si="40"/>
        <v/>
      </c>
      <c r="BA30" s="32" t="str">
        <f t="shared" si="41"/>
        <v/>
      </c>
      <c r="BB30" s="70"/>
      <c r="BC30" s="71" t="str">
        <f t="shared" si="42"/>
        <v/>
      </c>
      <c r="BD30" s="55"/>
      <c r="BE30" s="62" t="str">
        <f t="shared" si="43"/>
        <v/>
      </c>
      <c r="BF30" s="35" t="str">
        <f t="shared" si="44"/>
        <v/>
      </c>
      <c r="BG30" s="38"/>
      <c r="BH30" s="35" t="str">
        <f t="shared" si="45"/>
        <v/>
      </c>
      <c r="BI30" s="35" t="str">
        <f t="shared" si="46"/>
        <v/>
      </c>
      <c r="BJ30" s="38"/>
      <c r="BK30" s="35" t="str">
        <f t="shared" si="47"/>
        <v/>
      </c>
      <c r="BL30" s="35" t="str">
        <f t="shared" si="48"/>
        <v/>
      </c>
      <c r="BM30" s="38"/>
      <c r="BN30" s="35" t="str">
        <f t="shared" si="49"/>
        <v/>
      </c>
      <c r="BO30" s="35" t="str">
        <f t="shared" si="50"/>
        <v/>
      </c>
      <c r="BP30" s="32" t="str">
        <f t="shared" si="51"/>
        <v/>
      </c>
      <c r="BQ30" s="35" t="str">
        <f t="shared" si="52"/>
        <v/>
      </c>
      <c r="BR30" s="37" t="str">
        <f t="shared" si="53"/>
        <v/>
      </c>
      <c r="BS30" s="1"/>
    </row>
    <row r="31" spans="2:71" ht="70.5" customHeight="1" x14ac:dyDescent="0.25">
      <c r="B31" s="63"/>
      <c r="C31" s="64" t="str">
        <f>IFERROR(VLOOKUP(B31,Table_PrewrittenCode[#All],2,0),"")</f>
        <v/>
      </c>
      <c r="D31" s="32" t="str">
        <f>IFERROR(VLOOKUP(B31,Table_PrewrittenCode[#All],3,0),"")</f>
        <v/>
      </c>
      <c r="E31" s="54"/>
      <c r="F31" s="58" t="str">
        <f t="shared" si="0"/>
        <v/>
      </c>
      <c r="G31" s="54"/>
      <c r="H31" s="59" t="str">
        <f t="shared" si="1"/>
        <v/>
      </c>
      <c r="I31" s="48" t="str">
        <f t="shared" si="2"/>
        <v/>
      </c>
      <c r="J31" s="54"/>
      <c r="K31" s="60" t="str">
        <f t="shared" si="3"/>
        <v/>
      </c>
      <c r="L31" s="32" t="str">
        <f t="shared" si="4"/>
        <v/>
      </c>
      <c r="M31" s="32" t="str">
        <f t="shared" si="5"/>
        <v/>
      </c>
      <c r="N31" s="55"/>
      <c r="O31" s="66" t="str">
        <f t="shared" si="6"/>
        <v/>
      </c>
      <c r="P31" s="65"/>
      <c r="Q31" s="60" t="str">
        <f t="shared" si="7"/>
        <v/>
      </c>
      <c r="R31" s="32" t="str">
        <f t="shared" si="8"/>
        <v/>
      </c>
      <c r="S31" s="34" t="str">
        <f t="shared" si="9"/>
        <v/>
      </c>
      <c r="T31" s="32" t="str">
        <f t="shared" si="10"/>
        <v/>
      </c>
      <c r="U31" s="32" t="str">
        <f t="shared" si="11"/>
        <v/>
      </c>
      <c r="V31" s="32" t="str">
        <f t="shared" si="12"/>
        <v/>
      </c>
      <c r="W31" s="32" t="str">
        <f t="shared" si="13"/>
        <v/>
      </c>
      <c r="X31" s="32" t="str">
        <f t="shared" si="14"/>
        <v/>
      </c>
      <c r="Y31" s="32" t="str">
        <f t="shared" si="15"/>
        <v/>
      </c>
      <c r="Z31" s="32" t="str">
        <f t="shared" si="16"/>
        <v/>
      </c>
      <c r="AA31" s="32" t="str">
        <f t="shared" si="17"/>
        <v/>
      </c>
      <c r="AB31" s="32" t="str">
        <f t="shared" si="18"/>
        <v/>
      </c>
      <c r="AC31" s="35" t="str">
        <f t="shared" si="19"/>
        <v/>
      </c>
      <c r="AD31" s="32" t="str">
        <f t="shared" si="20"/>
        <v/>
      </c>
      <c r="AE31" s="32" t="str">
        <f t="shared" si="21"/>
        <v/>
      </c>
      <c r="AF31" s="32" t="str">
        <f t="shared" si="22"/>
        <v/>
      </c>
      <c r="AG31" s="32" t="str">
        <f t="shared" si="23"/>
        <v/>
      </c>
      <c r="AH31" s="32" t="str">
        <f t="shared" si="24"/>
        <v/>
      </c>
      <c r="AI31" s="32" t="str">
        <f t="shared" si="25"/>
        <v/>
      </c>
      <c r="AJ31" s="32" t="str">
        <f t="shared" si="26"/>
        <v/>
      </c>
      <c r="AK31" s="61" t="str">
        <f t="shared" si="27"/>
        <v/>
      </c>
      <c r="AL31" s="54"/>
      <c r="AM31" s="60" t="str">
        <f t="shared" si="28"/>
        <v/>
      </c>
      <c r="AN31" s="38"/>
      <c r="AO31" s="32" t="str">
        <f t="shared" si="29"/>
        <v/>
      </c>
      <c r="AP31" s="32" t="str">
        <f t="shared" si="30"/>
        <v/>
      </c>
      <c r="AQ31" s="32" t="str">
        <f t="shared" si="31"/>
        <v/>
      </c>
      <c r="AR31" s="32" t="str">
        <f t="shared" si="32"/>
        <v/>
      </c>
      <c r="AS31" s="32" t="str">
        <f t="shared" si="33"/>
        <v/>
      </c>
      <c r="AT31" s="32" t="str">
        <f t="shared" si="34"/>
        <v/>
      </c>
      <c r="AU31" s="32" t="str">
        <f t="shared" si="35"/>
        <v/>
      </c>
      <c r="AV31" s="32" t="str">
        <f t="shared" si="36"/>
        <v/>
      </c>
      <c r="AW31" s="32" t="str">
        <f t="shared" si="37"/>
        <v/>
      </c>
      <c r="AX31" s="32" t="str">
        <f t="shared" si="38"/>
        <v/>
      </c>
      <c r="AY31" s="32" t="str">
        <f t="shared" si="39"/>
        <v/>
      </c>
      <c r="AZ31" s="32" t="str">
        <f t="shared" si="40"/>
        <v/>
      </c>
      <c r="BA31" s="32" t="str">
        <f t="shared" si="41"/>
        <v/>
      </c>
      <c r="BB31" s="70"/>
      <c r="BC31" s="71" t="str">
        <f t="shared" si="42"/>
        <v/>
      </c>
      <c r="BD31" s="55"/>
      <c r="BE31" s="62" t="str">
        <f t="shared" si="43"/>
        <v/>
      </c>
      <c r="BF31" s="35" t="str">
        <f t="shared" si="44"/>
        <v/>
      </c>
      <c r="BG31" s="38"/>
      <c r="BH31" s="35" t="str">
        <f t="shared" si="45"/>
        <v/>
      </c>
      <c r="BI31" s="35" t="str">
        <f t="shared" si="46"/>
        <v/>
      </c>
      <c r="BJ31" s="38"/>
      <c r="BK31" s="35" t="str">
        <f t="shared" si="47"/>
        <v/>
      </c>
      <c r="BL31" s="35" t="str">
        <f t="shared" si="48"/>
        <v/>
      </c>
      <c r="BM31" s="38"/>
      <c r="BN31" s="35" t="str">
        <f t="shared" si="49"/>
        <v/>
      </c>
      <c r="BO31" s="35" t="str">
        <f t="shared" si="50"/>
        <v/>
      </c>
      <c r="BP31" s="32" t="str">
        <f t="shared" si="51"/>
        <v/>
      </c>
      <c r="BQ31" s="35" t="str">
        <f t="shared" si="52"/>
        <v/>
      </c>
      <c r="BR31" s="37" t="str">
        <f t="shared" si="53"/>
        <v/>
      </c>
      <c r="BS31" s="1"/>
    </row>
    <row r="32" spans="2:71" ht="70.5" customHeight="1" x14ac:dyDescent="0.25">
      <c r="B32" s="63"/>
      <c r="C32" s="64" t="str">
        <f>IFERROR(VLOOKUP(B32,Table_PrewrittenCode[#All],2,0),"")</f>
        <v/>
      </c>
      <c r="D32" s="32" t="str">
        <f>IFERROR(VLOOKUP(B32,Table_PrewrittenCode[#All],3,0),"")</f>
        <v/>
      </c>
      <c r="E32" s="54"/>
      <c r="F32" s="58" t="str">
        <f t="shared" si="0"/>
        <v/>
      </c>
      <c r="G32" s="54"/>
      <c r="H32" s="59" t="str">
        <f t="shared" si="1"/>
        <v/>
      </c>
      <c r="I32" s="48" t="str">
        <f t="shared" si="2"/>
        <v/>
      </c>
      <c r="J32" s="54"/>
      <c r="K32" s="60" t="str">
        <f t="shared" si="3"/>
        <v/>
      </c>
      <c r="L32" s="32" t="str">
        <f t="shared" si="4"/>
        <v/>
      </c>
      <c r="M32" s="32" t="str">
        <f t="shared" si="5"/>
        <v/>
      </c>
      <c r="N32" s="55"/>
      <c r="O32" s="66" t="str">
        <f t="shared" si="6"/>
        <v/>
      </c>
      <c r="P32" s="65"/>
      <c r="Q32" s="60" t="str">
        <f t="shared" si="7"/>
        <v/>
      </c>
      <c r="R32" s="32" t="str">
        <f t="shared" si="8"/>
        <v/>
      </c>
      <c r="S32" s="34" t="str">
        <f t="shared" si="9"/>
        <v/>
      </c>
      <c r="T32" s="32" t="str">
        <f t="shared" si="10"/>
        <v/>
      </c>
      <c r="U32" s="32" t="str">
        <f t="shared" si="11"/>
        <v/>
      </c>
      <c r="V32" s="32" t="str">
        <f t="shared" si="12"/>
        <v/>
      </c>
      <c r="W32" s="32" t="str">
        <f t="shared" si="13"/>
        <v/>
      </c>
      <c r="X32" s="32" t="str">
        <f t="shared" si="14"/>
        <v/>
      </c>
      <c r="Y32" s="32" t="str">
        <f t="shared" si="15"/>
        <v/>
      </c>
      <c r="Z32" s="32" t="str">
        <f t="shared" si="16"/>
        <v/>
      </c>
      <c r="AA32" s="32" t="str">
        <f t="shared" si="17"/>
        <v/>
      </c>
      <c r="AB32" s="32" t="str">
        <f t="shared" si="18"/>
        <v/>
      </c>
      <c r="AC32" s="35" t="str">
        <f t="shared" si="19"/>
        <v/>
      </c>
      <c r="AD32" s="32" t="str">
        <f t="shared" si="20"/>
        <v/>
      </c>
      <c r="AE32" s="32" t="str">
        <f t="shared" si="21"/>
        <v/>
      </c>
      <c r="AF32" s="32" t="str">
        <f t="shared" si="22"/>
        <v/>
      </c>
      <c r="AG32" s="32" t="str">
        <f t="shared" si="23"/>
        <v/>
      </c>
      <c r="AH32" s="32" t="str">
        <f t="shared" si="24"/>
        <v/>
      </c>
      <c r="AI32" s="32" t="str">
        <f t="shared" si="25"/>
        <v/>
      </c>
      <c r="AJ32" s="32" t="str">
        <f t="shared" si="26"/>
        <v/>
      </c>
      <c r="AK32" s="61" t="str">
        <f t="shared" si="27"/>
        <v/>
      </c>
      <c r="AL32" s="54"/>
      <c r="AM32" s="60" t="str">
        <f t="shared" si="28"/>
        <v/>
      </c>
      <c r="AN32" s="38"/>
      <c r="AO32" s="32" t="str">
        <f t="shared" si="29"/>
        <v/>
      </c>
      <c r="AP32" s="32" t="str">
        <f t="shared" si="30"/>
        <v/>
      </c>
      <c r="AQ32" s="32" t="str">
        <f t="shared" si="31"/>
        <v/>
      </c>
      <c r="AR32" s="32" t="str">
        <f t="shared" si="32"/>
        <v/>
      </c>
      <c r="AS32" s="32" t="str">
        <f t="shared" si="33"/>
        <v/>
      </c>
      <c r="AT32" s="32" t="str">
        <f t="shared" si="34"/>
        <v/>
      </c>
      <c r="AU32" s="32" t="str">
        <f t="shared" si="35"/>
        <v/>
      </c>
      <c r="AV32" s="32" t="str">
        <f t="shared" si="36"/>
        <v/>
      </c>
      <c r="AW32" s="32" t="str">
        <f t="shared" si="37"/>
        <v/>
      </c>
      <c r="AX32" s="32" t="str">
        <f t="shared" si="38"/>
        <v/>
      </c>
      <c r="AY32" s="32" t="str">
        <f t="shared" si="39"/>
        <v/>
      </c>
      <c r="AZ32" s="32" t="str">
        <f t="shared" si="40"/>
        <v/>
      </c>
      <c r="BA32" s="32" t="str">
        <f t="shared" si="41"/>
        <v/>
      </c>
      <c r="BB32" s="70"/>
      <c r="BC32" s="71" t="str">
        <f t="shared" si="42"/>
        <v/>
      </c>
      <c r="BD32" s="55"/>
      <c r="BE32" s="62" t="str">
        <f t="shared" si="43"/>
        <v/>
      </c>
      <c r="BF32" s="35" t="str">
        <f t="shared" si="44"/>
        <v/>
      </c>
      <c r="BG32" s="38"/>
      <c r="BH32" s="35" t="str">
        <f t="shared" si="45"/>
        <v/>
      </c>
      <c r="BI32" s="35" t="str">
        <f t="shared" si="46"/>
        <v/>
      </c>
      <c r="BJ32" s="38"/>
      <c r="BK32" s="35" t="str">
        <f t="shared" si="47"/>
        <v/>
      </c>
      <c r="BL32" s="35" t="str">
        <f t="shared" si="48"/>
        <v/>
      </c>
      <c r="BM32" s="38"/>
      <c r="BN32" s="35" t="str">
        <f t="shared" si="49"/>
        <v/>
      </c>
      <c r="BO32" s="35" t="str">
        <f t="shared" si="50"/>
        <v/>
      </c>
      <c r="BP32" s="32" t="str">
        <f t="shared" si="51"/>
        <v/>
      </c>
      <c r="BQ32" s="35" t="str">
        <f t="shared" si="52"/>
        <v/>
      </c>
      <c r="BR32" s="37" t="str">
        <f t="shared" si="53"/>
        <v/>
      </c>
      <c r="BS32" s="1"/>
    </row>
    <row r="33" spans="2:71" ht="70.5" customHeight="1" x14ac:dyDescent="0.25">
      <c r="B33" s="63"/>
      <c r="C33" s="64" t="str">
        <f>IFERROR(VLOOKUP(B33,Table_PrewrittenCode[#All],2,0),"")</f>
        <v/>
      </c>
      <c r="D33" s="32" t="str">
        <f>IFERROR(VLOOKUP(B33,Table_PrewrittenCode[#All],3,0),"")</f>
        <v/>
      </c>
      <c r="E33" s="54"/>
      <c r="F33" s="58" t="str">
        <f t="shared" si="0"/>
        <v/>
      </c>
      <c r="G33" s="54"/>
      <c r="H33" s="59" t="str">
        <f t="shared" si="1"/>
        <v/>
      </c>
      <c r="I33" s="48" t="str">
        <f t="shared" si="2"/>
        <v/>
      </c>
      <c r="J33" s="54"/>
      <c r="K33" s="60" t="str">
        <f t="shared" si="3"/>
        <v/>
      </c>
      <c r="L33" s="32" t="str">
        <f t="shared" si="4"/>
        <v/>
      </c>
      <c r="M33" s="32" t="str">
        <f t="shared" si="5"/>
        <v/>
      </c>
      <c r="N33" s="55"/>
      <c r="O33" s="66" t="str">
        <f t="shared" si="6"/>
        <v/>
      </c>
      <c r="P33" s="65"/>
      <c r="Q33" s="60" t="str">
        <f t="shared" si="7"/>
        <v/>
      </c>
      <c r="R33" s="32" t="str">
        <f t="shared" si="8"/>
        <v/>
      </c>
      <c r="S33" s="34" t="str">
        <f t="shared" si="9"/>
        <v/>
      </c>
      <c r="T33" s="32" t="str">
        <f t="shared" si="10"/>
        <v/>
      </c>
      <c r="U33" s="32" t="str">
        <f t="shared" si="11"/>
        <v/>
      </c>
      <c r="V33" s="32" t="str">
        <f t="shared" si="12"/>
        <v/>
      </c>
      <c r="W33" s="32" t="str">
        <f t="shared" si="13"/>
        <v/>
      </c>
      <c r="X33" s="32" t="str">
        <f t="shared" si="14"/>
        <v/>
      </c>
      <c r="Y33" s="32" t="str">
        <f t="shared" si="15"/>
        <v/>
      </c>
      <c r="Z33" s="32" t="str">
        <f t="shared" si="16"/>
        <v/>
      </c>
      <c r="AA33" s="32" t="str">
        <f t="shared" si="17"/>
        <v/>
      </c>
      <c r="AB33" s="32" t="str">
        <f t="shared" si="18"/>
        <v/>
      </c>
      <c r="AC33" s="35" t="str">
        <f t="shared" si="19"/>
        <v/>
      </c>
      <c r="AD33" s="32" t="str">
        <f t="shared" si="20"/>
        <v/>
      </c>
      <c r="AE33" s="32" t="str">
        <f t="shared" si="21"/>
        <v/>
      </c>
      <c r="AF33" s="32" t="str">
        <f t="shared" si="22"/>
        <v/>
      </c>
      <c r="AG33" s="32" t="str">
        <f t="shared" si="23"/>
        <v/>
      </c>
      <c r="AH33" s="32" t="str">
        <f t="shared" si="24"/>
        <v/>
      </c>
      <c r="AI33" s="32" t="str">
        <f t="shared" si="25"/>
        <v/>
      </c>
      <c r="AJ33" s="32" t="str">
        <f t="shared" si="26"/>
        <v/>
      </c>
      <c r="AK33" s="61" t="str">
        <f t="shared" si="27"/>
        <v/>
      </c>
      <c r="AL33" s="54"/>
      <c r="AM33" s="60" t="str">
        <f t="shared" si="28"/>
        <v/>
      </c>
      <c r="AN33" s="38"/>
      <c r="AO33" s="32" t="str">
        <f t="shared" si="29"/>
        <v/>
      </c>
      <c r="AP33" s="32" t="str">
        <f t="shared" si="30"/>
        <v/>
      </c>
      <c r="AQ33" s="32" t="str">
        <f t="shared" si="31"/>
        <v/>
      </c>
      <c r="AR33" s="32" t="str">
        <f t="shared" si="32"/>
        <v/>
      </c>
      <c r="AS33" s="32" t="str">
        <f t="shared" si="33"/>
        <v/>
      </c>
      <c r="AT33" s="32" t="str">
        <f t="shared" si="34"/>
        <v/>
      </c>
      <c r="AU33" s="32" t="str">
        <f t="shared" si="35"/>
        <v/>
      </c>
      <c r="AV33" s="32" t="str">
        <f t="shared" si="36"/>
        <v/>
      </c>
      <c r="AW33" s="32" t="str">
        <f t="shared" si="37"/>
        <v/>
      </c>
      <c r="AX33" s="32" t="str">
        <f t="shared" si="38"/>
        <v/>
      </c>
      <c r="AY33" s="32" t="str">
        <f t="shared" si="39"/>
        <v/>
      </c>
      <c r="AZ33" s="32" t="str">
        <f t="shared" si="40"/>
        <v/>
      </c>
      <c r="BA33" s="32" t="str">
        <f t="shared" si="41"/>
        <v/>
      </c>
      <c r="BB33" s="70"/>
      <c r="BC33" s="71" t="str">
        <f t="shared" si="42"/>
        <v/>
      </c>
      <c r="BD33" s="55"/>
      <c r="BE33" s="62" t="str">
        <f t="shared" si="43"/>
        <v/>
      </c>
      <c r="BF33" s="35" t="str">
        <f t="shared" si="44"/>
        <v/>
      </c>
      <c r="BG33" s="38"/>
      <c r="BH33" s="35" t="str">
        <f t="shared" si="45"/>
        <v/>
      </c>
      <c r="BI33" s="35" t="str">
        <f t="shared" si="46"/>
        <v/>
      </c>
      <c r="BJ33" s="38"/>
      <c r="BK33" s="35" t="str">
        <f t="shared" si="47"/>
        <v/>
      </c>
      <c r="BL33" s="35" t="str">
        <f t="shared" si="48"/>
        <v/>
      </c>
      <c r="BM33" s="38"/>
      <c r="BN33" s="35" t="str">
        <f t="shared" si="49"/>
        <v/>
      </c>
      <c r="BO33" s="35" t="str">
        <f t="shared" si="50"/>
        <v/>
      </c>
      <c r="BP33" s="32" t="str">
        <f t="shared" si="51"/>
        <v/>
      </c>
      <c r="BQ33" s="35" t="str">
        <f t="shared" si="52"/>
        <v/>
      </c>
      <c r="BR33" s="37" t="str">
        <f t="shared" si="53"/>
        <v/>
      </c>
      <c r="BS33" s="1"/>
    </row>
    <row r="34" spans="2:71" ht="70.5" customHeight="1" x14ac:dyDescent="0.25">
      <c r="B34" s="63"/>
      <c r="C34" s="64" t="str">
        <f>IFERROR(VLOOKUP(B34,Table_PrewrittenCode[#All],2,0),"")</f>
        <v/>
      </c>
      <c r="D34" s="32" t="str">
        <f>IFERROR(VLOOKUP(B34,Table_PrewrittenCode[#All],3,0),"")</f>
        <v/>
      </c>
      <c r="E34" s="54"/>
      <c r="F34" s="58" t="str">
        <f t="shared" si="0"/>
        <v/>
      </c>
      <c r="G34" s="54"/>
      <c r="H34" s="59" t="str">
        <f t="shared" si="1"/>
        <v/>
      </c>
      <c r="I34" s="48" t="str">
        <f t="shared" si="2"/>
        <v/>
      </c>
      <c r="J34" s="54"/>
      <c r="K34" s="60" t="str">
        <f t="shared" si="3"/>
        <v/>
      </c>
      <c r="L34" s="32" t="str">
        <f t="shared" si="4"/>
        <v/>
      </c>
      <c r="M34" s="32" t="str">
        <f t="shared" si="5"/>
        <v/>
      </c>
      <c r="N34" s="55"/>
      <c r="O34" s="66" t="str">
        <f t="shared" si="6"/>
        <v/>
      </c>
      <c r="P34" s="65"/>
      <c r="Q34" s="60" t="str">
        <f t="shared" si="7"/>
        <v/>
      </c>
      <c r="R34" s="32" t="str">
        <f t="shared" si="8"/>
        <v/>
      </c>
      <c r="S34" s="34" t="str">
        <f t="shared" si="9"/>
        <v/>
      </c>
      <c r="T34" s="32" t="str">
        <f t="shared" si="10"/>
        <v/>
      </c>
      <c r="U34" s="32" t="str">
        <f t="shared" si="11"/>
        <v/>
      </c>
      <c r="V34" s="32" t="str">
        <f t="shared" si="12"/>
        <v/>
      </c>
      <c r="W34" s="32" t="str">
        <f t="shared" si="13"/>
        <v/>
      </c>
      <c r="X34" s="32" t="str">
        <f t="shared" si="14"/>
        <v/>
      </c>
      <c r="Y34" s="32" t="str">
        <f t="shared" si="15"/>
        <v/>
      </c>
      <c r="Z34" s="32" t="str">
        <f t="shared" si="16"/>
        <v/>
      </c>
      <c r="AA34" s="32" t="str">
        <f t="shared" si="17"/>
        <v/>
      </c>
      <c r="AB34" s="32" t="str">
        <f t="shared" si="18"/>
        <v/>
      </c>
      <c r="AC34" s="35" t="str">
        <f t="shared" si="19"/>
        <v/>
      </c>
      <c r="AD34" s="32" t="str">
        <f t="shared" si="20"/>
        <v/>
      </c>
      <c r="AE34" s="32" t="str">
        <f t="shared" si="21"/>
        <v/>
      </c>
      <c r="AF34" s="32" t="str">
        <f t="shared" si="22"/>
        <v/>
      </c>
      <c r="AG34" s="32" t="str">
        <f t="shared" si="23"/>
        <v/>
      </c>
      <c r="AH34" s="32" t="str">
        <f t="shared" si="24"/>
        <v/>
      </c>
      <c r="AI34" s="32" t="str">
        <f t="shared" si="25"/>
        <v/>
      </c>
      <c r="AJ34" s="32" t="str">
        <f t="shared" si="26"/>
        <v/>
      </c>
      <c r="AK34" s="61" t="str">
        <f t="shared" si="27"/>
        <v/>
      </c>
      <c r="AL34" s="54"/>
      <c r="AM34" s="60" t="str">
        <f t="shared" si="28"/>
        <v/>
      </c>
      <c r="AN34" s="38"/>
      <c r="AO34" s="32" t="str">
        <f t="shared" si="29"/>
        <v/>
      </c>
      <c r="AP34" s="32" t="str">
        <f t="shared" si="30"/>
        <v/>
      </c>
      <c r="AQ34" s="32" t="str">
        <f t="shared" si="31"/>
        <v/>
      </c>
      <c r="AR34" s="32" t="str">
        <f t="shared" si="32"/>
        <v/>
      </c>
      <c r="AS34" s="32" t="str">
        <f t="shared" si="33"/>
        <v/>
      </c>
      <c r="AT34" s="32" t="str">
        <f t="shared" si="34"/>
        <v/>
      </c>
      <c r="AU34" s="32" t="str">
        <f t="shared" si="35"/>
        <v/>
      </c>
      <c r="AV34" s="32" t="str">
        <f t="shared" si="36"/>
        <v/>
      </c>
      <c r="AW34" s="32" t="str">
        <f t="shared" si="37"/>
        <v/>
      </c>
      <c r="AX34" s="32" t="str">
        <f t="shared" si="38"/>
        <v/>
      </c>
      <c r="AY34" s="32" t="str">
        <f t="shared" si="39"/>
        <v/>
      </c>
      <c r="AZ34" s="32" t="str">
        <f t="shared" si="40"/>
        <v/>
      </c>
      <c r="BA34" s="32" t="str">
        <f t="shared" si="41"/>
        <v/>
      </c>
      <c r="BB34" s="70"/>
      <c r="BC34" s="71" t="str">
        <f t="shared" si="42"/>
        <v/>
      </c>
      <c r="BD34" s="55"/>
      <c r="BE34" s="62" t="str">
        <f t="shared" si="43"/>
        <v/>
      </c>
      <c r="BF34" s="35" t="str">
        <f t="shared" si="44"/>
        <v/>
      </c>
      <c r="BG34" s="38"/>
      <c r="BH34" s="35" t="str">
        <f t="shared" si="45"/>
        <v/>
      </c>
      <c r="BI34" s="35" t="str">
        <f t="shared" si="46"/>
        <v/>
      </c>
      <c r="BJ34" s="38"/>
      <c r="BK34" s="35" t="str">
        <f t="shared" si="47"/>
        <v/>
      </c>
      <c r="BL34" s="35" t="str">
        <f t="shared" si="48"/>
        <v/>
      </c>
      <c r="BM34" s="38"/>
      <c r="BN34" s="35" t="str">
        <f t="shared" si="49"/>
        <v/>
      </c>
      <c r="BO34" s="35" t="str">
        <f t="shared" si="50"/>
        <v/>
      </c>
      <c r="BP34" s="32" t="str">
        <f t="shared" si="51"/>
        <v/>
      </c>
      <c r="BQ34" s="35" t="str">
        <f t="shared" si="52"/>
        <v/>
      </c>
      <c r="BR34" s="37" t="str">
        <f t="shared" si="53"/>
        <v/>
      </c>
      <c r="BS34" s="1"/>
    </row>
    <row r="35" spans="2:71" ht="70.5" customHeight="1" x14ac:dyDescent="0.25">
      <c r="B35" s="63"/>
      <c r="C35" s="64" t="str">
        <f>IFERROR(VLOOKUP(B35,Table_PrewrittenCode[#All],2,0),"")</f>
        <v/>
      </c>
      <c r="D35" s="32" t="str">
        <f>IFERROR(VLOOKUP(B35,Table_PrewrittenCode[#All],3,0),"")</f>
        <v/>
      </c>
      <c r="E35" s="54"/>
      <c r="F35" s="58" t="str">
        <f t="shared" si="0"/>
        <v/>
      </c>
      <c r="G35" s="54"/>
      <c r="H35" s="59" t="str">
        <f t="shared" si="1"/>
        <v/>
      </c>
      <c r="I35" s="48" t="str">
        <f t="shared" si="2"/>
        <v/>
      </c>
      <c r="J35" s="54"/>
      <c r="K35" s="60" t="str">
        <f t="shared" si="3"/>
        <v/>
      </c>
      <c r="L35" s="32" t="str">
        <f t="shared" si="4"/>
        <v/>
      </c>
      <c r="M35" s="32" t="str">
        <f t="shared" si="5"/>
        <v/>
      </c>
      <c r="N35" s="55"/>
      <c r="O35" s="66" t="str">
        <f t="shared" si="6"/>
        <v/>
      </c>
      <c r="P35" s="65"/>
      <c r="Q35" s="60" t="str">
        <f t="shared" si="7"/>
        <v/>
      </c>
      <c r="R35" s="32" t="str">
        <f t="shared" si="8"/>
        <v/>
      </c>
      <c r="S35" s="34" t="str">
        <f t="shared" si="9"/>
        <v/>
      </c>
      <c r="T35" s="32" t="str">
        <f t="shared" si="10"/>
        <v/>
      </c>
      <c r="U35" s="32" t="str">
        <f t="shared" si="11"/>
        <v/>
      </c>
      <c r="V35" s="32" t="str">
        <f t="shared" si="12"/>
        <v/>
      </c>
      <c r="W35" s="32" t="str">
        <f t="shared" si="13"/>
        <v/>
      </c>
      <c r="X35" s="32" t="str">
        <f t="shared" si="14"/>
        <v/>
      </c>
      <c r="Y35" s="32" t="str">
        <f t="shared" si="15"/>
        <v/>
      </c>
      <c r="Z35" s="32" t="str">
        <f t="shared" si="16"/>
        <v/>
      </c>
      <c r="AA35" s="32" t="str">
        <f t="shared" si="17"/>
        <v/>
      </c>
      <c r="AB35" s="32" t="str">
        <f t="shared" si="18"/>
        <v/>
      </c>
      <c r="AC35" s="35" t="str">
        <f t="shared" si="19"/>
        <v/>
      </c>
      <c r="AD35" s="32" t="str">
        <f t="shared" si="20"/>
        <v/>
      </c>
      <c r="AE35" s="32" t="str">
        <f t="shared" si="21"/>
        <v/>
      </c>
      <c r="AF35" s="32" t="str">
        <f t="shared" si="22"/>
        <v/>
      </c>
      <c r="AG35" s="32" t="str">
        <f t="shared" si="23"/>
        <v/>
      </c>
      <c r="AH35" s="32" t="str">
        <f t="shared" si="24"/>
        <v/>
      </c>
      <c r="AI35" s="32" t="str">
        <f t="shared" si="25"/>
        <v/>
      </c>
      <c r="AJ35" s="32" t="str">
        <f t="shared" si="26"/>
        <v/>
      </c>
      <c r="AK35" s="61" t="str">
        <f t="shared" si="27"/>
        <v/>
      </c>
      <c r="AL35" s="54"/>
      <c r="AM35" s="60" t="str">
        <f t="shared" si="28"/>
        <v/>
      </c>
      <c r="AN35" s="38"/>
      <c r="AO35" s="32" t="str">
        <f t="shared" si="29"/>
        <v/>
      </c>
      <c r="AP35" s="32" t="str">
        <f t="shared" si="30"/>
        <v/>
      </c>
      <c r="AQ35" s="32" t="str">
        <f t="shared" si="31"/>
        <v/>
      </c>
      <c r="AR35" s="32" t="str">
        <f t="shared" si="32"/>
        <v/>
      </c>
      <c r="AS35" s="32" t="str">
        <f t="shared" si="33"/>
        <v/>
      </c>
      <c r="AT35" s="32" t="str">
        <f t="shared" si="34"/>
        <v/>
      </c>
      <c r="AU35" s="32" t="str">
        <f t="shared" si="35"/>
        <v/>
      </c>
      <c r="AV35" s="32" t="str">
        <f t="shared" si="36"/>
        <v/>
      </c>
      <c r="AW35" s="32" t="str">
        <f t="shared" si="37"/>
        <v/>
      </c>
      <c r="AX35" s="32" t="str">
        <f t="shared" si="38"/>
        <v/>
      </c>
      <c r="AY35" s="32" t="str">
        <f t="shared" si="39"/>
        <v/>
      </c>
      <c r="AZ35" s="32" t="str">
        <f t="shared" si="40"/>
        <v/>
      </c>
      <c r="BA35" s="32" t="str">
        <f t="shared" si="41"/>
        <v/>
      </c>
      <c r="BB35" s="70"/>
      <c r="BC35" s="71" t="str">
        <f t="shared" si="42"/>
        <v/>
      </c>
      <c r="BD35" s="55"/>
      <c r="BE35" s="62" t="str">
        <f t="shared" si="43"/>
        <v/>
      </c>
      <c r="BF35" s="35" t="str">
        <f t="shared" si="44"/>
        <v/>
      </c>
      <c r="BG35" s="38"/>
      <c r="BH35" s="35" t="str">
        <f t="shared" si="45"/>
        <v/>
      </c>
      <c r="BI35" s="35" t="str">
        <f t="shared" si="46"/>
        <v/>
      </c>
      <c r="BJ35" s="38"/>
      <c r="BK35" s="35" t="str">
        <f t="shared" si="47"/>
        <v/>
      </c>
      <c r="BL35" s="35" t="str">
        <f t="shared" si="48"/>
        <v/>
      </c>
      <c r="BM35" s="38"/>
      <c r="BN35" s="35" t="str">
        <f t="shared" si="49"/>
        <v/>
      </c>
      <c r="BO35" s="35" t="str">
        <f t="shared" si="50"/>
        <v/>
      </c>
      <c r="BP35" s="32" t="str">
        <f t="shared" si="51"/>
        <v/>
      </c>
      <c r="BQ35" s="35" t="str">
        <f t="shared" si="52"/>
        <v/>
      </c>
      <c r="BR35" s="37" t="str">
        <f t="shared" si="53"/>
        <v/>
      </c>
      <c r="BS35" s="1"/>
    </row>
    <row r="36" spans="2:71" ht="70.5" customHeight="1" x14ac:dyDescent="0.25">
      <c r="B36" s="63"/>
      <c r="C36" s="64" t="str">
        <f>IFERROR(VLOOKUP(B36,Table_PrewrittenCode[#All],2,0),"")</f>
        <v/>
      </c>
      <c r="D36" s="32" t="str">
        <f>IFERROR(VLOOKUP(B36,Table_PrewrittenCode[#All],3,0),"")</f>
        <v/>
      </c>
      <c r="E36" s="54"/>
      <c r="F36" s="58" t="str">
        <f t="shared" si="0"/>
        <v/>
      </c>
      <c r="G36" s="54"/>
      <c r="H36" s="59" t="str">
        <f t="shared" si="1"/>
        <v/>
      </c>
      <c r="I36" s="48" t="str">
        <f t="shared" si="2"/>
        <v/>
      </c>
      <c r="J36" s="54"/>
      <c r="K36" s="60" t="str">
        <f t="shared" si="3"/>
        <v/>
      </c>
      <c r="L36" s="32" t="str">
        <f t="shared" si="4"/>
        <v/>
      </c>
      <c r="M36" s="32" t="str">
        <f t="shared" si="5"/>
        <v/>
      </c>
      <c r="N36" s="55"/>
      <c r="O36" s="66" t="str">
        <f t="shared" si="6"/>
        <v/>
      </c>
      <c r="P36" s="65"/>
      <c r="Q36" s="60" t="str">
        <f t="shared" si="7"/>
        <v/>
      </c>
      <c r="R36" s="32" t="str">
        <f t="shared" si="8"/>
        <v/>
      </c>
      <c r="S36" s="34" t="str">
        <f t="shared" si="9"/>
        <v/>
      </c>
      <c r="T36" s="32" t="str">
        <f t="shared" si="10"/>
        <v/>
      </c>
      <c r="U36" s="32" t="str">
        <f t="shared" si="11"/>
        <v/>
      </c>
      <c r="V36" s="32" t="str">
        <f t="shared" si="12"/>
        <v/>
      </c>
      <c r="W36" s="32" t="str">
        <f t="shared" si="13"/>
        <v/>
      </c>
      <c r="X36" s="32" t="str">
        <f t="shared" si="14"/>
        <v/>
      </c>
      <c r="Y36" s="32" t="str">
        <f t="shared" si="15"/>
        <v/>
      </c>
      <c r="Z36" s="32" t="str">
        <f t="shared" si="16"/>
        <v/>
      </c>
      <c r="AA36" s="32" t="str">
        <f t="shared" si="17"/>
        <v/>
      </c>
      <c r="AB36" s="32" t="str">
        <f t="shared" si="18"/>
        <v/>
      </c>
      <c r="AC36" s="35" t="str">
        <f t="shared" si="19"/>
        <v/>
      </c>
      <c r="AD36" s="32" t="str">
        <f t="shared" si="20"/>
        <v/>
      </c>
      <c r="AE36" s="32" t="str">
        <f t="shared" si="21"/>
        <v/>
      </c>
      <c r="AF36" s="32" t="str">
        <f t="shared" si="22"/>
        <v/>
      </c>
      <c r="AG36" s="32" t="str">
        <f t="shared" si="23"/>
        <v/>
      </c>
      <c r="AH36" s="32" t="str">
        <f t="shared" si="24"/>
        <v/>
      </c>
      <c r="AI36" s="32" t="str">
        <f t="shared" si="25"/>
        <v/>
      </c>
      <c r="AJ36" s="32" t="str">
        <f t="shared" si="26"/>
        <v/>
      </c>
      <c r="AK36" s="61" t="str">
        <f t="shared" si="27"/>
        <v/>
      </c>
      <c r="AL36" s="54"/>
      <c r="AM36" s="60" t="str">
        <f t="shared" si="28"/>
        <v/>
      </c>
      <c r="AN36" s="38"/>
      <c r="AO36" s="32" t="str">
        <f t="shared" si="29"/>
        <v/>
      </c>
      <c r="AP36" s="32" t="str">
        <f t="shared" si="30"/>
        <v/>
      </c>
      <c r="AQ36" s="32" t="str">
        <f t="shared" si="31"/>
        <v/>
      </c>
      <c r="AR36" s="32" t="str">
        <f t="shared" si="32"/>
        <v/>
      </c>
      <c r="AS36" s="32" t="str">
        <f t="shared" si="33"/>
        <v/>
      </c>
      <c r="AT36" s="32" t="str">
        <f t="shared" si="34"/>
        <v/>
      </c>
      <c r="AU36" s="32" t="str">
        <f t="shared" si="35"/>
        <v/>
      </c>
      <c r="AV36" s="32" t="str">
        <f t="shared" si="36"/>
        <v/>
      </c>
      <c r="AW36" s="32" t="str">
        <f t="shared" si="37"/>
        <v/>
      </c>
      <c r="AX36" s="32" t="str">
        <f t="shared" si="38"/>
        <v/>
      </c>
      <c r="AY36" s="32" t="str">
        <f t="shared" si="39"/>
        <v/>
      </c>
      <c r="AZ36" s="32" t="str">
        <f t="shared" si="40"/>
        <v/>
      </c>
      <c r="BA36" s="32" t="str">
        <f t="shared" si="41"/>
        <v/>
      </c>
      <c r="BB36" s="70"/>
      <c r="BC36" s="71" t="str">
        <f t="shared" si="42"/>
        <v/>
      </c>
      <c r="BD36" s="55"/>
      <c r="BE36" s="62" t="str">
        <f t="shared" si="43"/>
        <v/>
      </c>
      <c r="BF36" s="35" t="str">
        <f t="shared" si="44"/>
        <v/>
      </c>
      <c r="BG36" s="38"/>
      <c r="BH36" s="35" t="str">
        <f t="shared" si="45"/>
        <v/>
      </c>
      <c r="BI36" s="35" t="str">
        <f t="shared" si="46"/>
        <v/>
      </c>
      <c r="BJ36" s="38"/>
      <c r="BK36" s="35" t="str">
        <f t="shared" si="47"/>
        <v/>
      </c>
      <c r="BL36" s="35" t="str">
        <f t="shared" si="48"/>
        <v/>
      </c>
      <c r="BM36" s="38"/>
      <c r="BN36" s="35" t="str">
        <f t="shared" si="49"/>
        <v/>
      </c>
      <c r="BO36" s="35" t="str">
        <f t="shared" si="50"/>
        <v/>
      </c>
      <c r="BP36" s="32" t="str">
        <f t="shared" si="51"/>
        <v/>
      </c>
      <c r="BQ36" s="35" t="str">
        <f t="shared" si="52"/>
        <v/>
      </c>
      <c r="BR36" s="37" t="str">
        <f t="shared" si="53"/>
        <v/>
      </c>
      <c r="BS36" s="1"/>
    </row>
    <row r="37" spans="2:71" ht="70.5" customHeight="1" x14ac:dyDescent="0.25">
      <c r="B37" s="63"/>
      <c r="C37" s="64" t="str">
        <f>IFERROR(VLOOKUP(B37,Table_PrewrittenCode[#All],2,0),"")</f>
        <v/>
      </c>
      <c r="D37" s="32" t="str">
        <f>IFERROR(VLOOKUP(B37,Table_PrewrittenCode[#All],3,0),"")</f>
        <v/>
      </c>
      <c r="E37" s="54"/>
      <c r="F37" s="58" t="str">
        <f t="shared" si="0"/>
        <v/>
      </c>
      <c r="G37" s="54"/>
      <c r="H37" s="59" t="str">
        <f t="shared" si="1"/>
        <v/>
      </c>
      <c r="I37" s="48" t="str">
        <f t="shared" si="2"/>
        <v/>
      </c>
      <c r="J37" s="54"/>
      <c r="K37" s="60" t="str">
        <f t="shared" si="3"/>
        <v/>
      </c>
      <c r="L37" s="32" t="str">
        <f t="shared" si="4"/>
        <v/>
      </c>
      <c r="M37" s="32" t="str">
        <f t="shared" si="5"/>
        <v/>
      </c>
      <c r="N37" s="55"/>
      <c r="O37" s="66" t="str">
        <f t="shared" si="6"/>
        <v/>
      </c>
      <c r="P37" s="65"/>
      <c r="Q37" s="60" t="str">
        <f t="shared" si="7"/>
        <v/>
      </c>
      <c r="R37" s="32" t="str">
        <f t="shared" si="8"/>
        <v/>
      </c>
      <c r="S37" s="34" t="str">
        <f t="shared" si="9"/>
        <v/>
      </c>
      <c r="T37" s="32" t="str">
        <f t="shared" si="10"/>
        <v/>
      </c>
      <c r="U37" s="32" t="str">
        <f t="shared" si="11"/>
        <v/>
      </c>
      <c r="V37" s="32" t="str">
        <f t="shared" si="12"/>
        <v/>
      </c>
      <c r="W37" s="32" t="str">
        <f t="shared" si="13"/>
        <v/>
      </c>
      <c r="X37" s="32" t="str">
        <f t="shared" si="14"/>
        <v/>
      </c>
      <c r="Y37" s="32" t="str">
        <f t="shared" si="15"/>
        <v/>
      </c>
      <c r="Z37" s="32" t="str">
        <f t="shared" si="16"/>
        <v/>
      </c>
      <c r="AA37" s="32" t="str">
        <f t="shared" si="17"/>
        <v/>
      </c>
      <c r="AB37" s="32" t="str">
        <f t="shared" si="18"/>
        <v/>
      </c>
      <c r="AC37" s="35" t="str">
        <f t="shared" si="19"/>
        <v/>
      </c>
      <c r="AD37" s="32" t="str">
        <f t="shared" si="20"/>
        <v/>
      </c>
      <c r="AE37" s="32" t="str">
        <f t="shared" si="21"/>
        <v/>
      </c>
      <c r="AF37" s="32" t="str">
        <f t="shared" si="22"/>
        <v/>
      </c>
      <c r="AG37" s="32" t="str">
        <f t="shared" si="23"/>
        <v/>
      </c>
      <c r="AH37" s="32" t="str">
        <f t="shared" si="24"/>
        <v/>
      </c>
      <c r="AI37" s="32" t="str">
        <f t="shared" si="25"/>
        <v/>
      </c>
      <c r="AJ37" s="32" t="str">
        <f t="shared" si="26"/>
        <v/>
      </c>
      <c r="AK37" s="61" t="str">
        <f t="shared" si="27"/>
        <v/>
      </c>
      <c r="AL37" s="54"/>
      <c r="AM37" s="60" t="str">
        <f t="shared" si="28"/>
        <v/>
      </c>
      <c r="AN37" s="38"/>
      <c r="AO37" s="32" t="str">
        <f t="shared" si="29"/>
        <v/>
      </c>
      <c r="AP37" s="32" t="str">
        <f t="shared" si="30"/>
        <v/>
      </c>
      <c r="AQ37" s="32" t="str">
        <f t="shared" si="31"/>
        <v/>
      </c>
      <c r="AR37" s="32" t="str">
        <f t="shared" si="32"/>
        <v/>
      </c>
      <c r="AS37" s="32" t="str">
        <f t="shared" si="33"/>
        <v/>
      </c>
      <c r="AT37" s="32" t="str">
        <f t="shared" si="34"/>
        <v/>
      </c>
      <c r="AU37" s="32" t="str">
        <f t="shared" si="35"/>
        <v/>
      </c>
      <c r="AV37" s="32" t="str">
        <f t="shared" si="36"/>
        <v/>
      </c>
      <c r="AW37" s="32" t="str">
        <f t="shared" si="37"/>
        <v/>
      </c>
      <c r="AX37" s="32" t="str">
        <f t="shared" si="38"/>
        <v/>
      </c>
      <c r="AY37" s="32" t="str">
        <f t="shared" si="39"/>
        <v/>
      </c>
      <c r="AZ37" s="32" t="str">
        <f t="shared" si="40"/>
        <v/>
      </c>
      <c r="BA37" s="32" t="str">
        <f t="shared" si="41"/>
        <v/>
      </c>
      <c r="BB37" s="70"/>
      <c r="BC37" s="71" t="str">
        <f t="shared" si="42"/>
        <v/>
      </c>
      <c r="BD37" s="55"/>
      <c r="BE37" s="62" t="str">
        <f t="shared" si="43"/>
        <v/>
      </c>
      <c r="BF37" s="35" t="str">
        <f t="shared" si="44"/>
        <v/>
      </c>
      <c r="BG37" s="38"/>
      <c r="BH37" s="35" t="str">
        <f t="shared" si="45"/>
        <v/>
      </c>
      <c r="BI37" s="35" t="str">
        <f t="shared" si="46"/>
        <v/>
      </c>
      <c r="BJ37" s="38"/>
      <c r="BK37" s="35" t="str">
        <f t="shared" si="47"/>
        <v/>
      </c>
      <c r="BL37" s="35" t="str">
        <f t="shared" si="48"/>
        <v/>
      </c>
      <c r="BM37" s="38"/>
      <c r="BN37" s="35" t="str">
        <f t="shared" si="49"/>
        <v/>
      </c>
      <c r="BO37" s="35" t="str">
        <f t="shared" si="50"/>
        <v/>
      </c>
      <c r="BP37" s="32" t="str">
        <f t="shared" si="51"/>
        <v/>
      </c>
      <c r="BQ37" s="35" t="str">
        <f t="shared" si="52"/>
        <v/>
      </c>
      <c r="BR37" s="37" t="str">
        <f t="shared" si="53"/>
        <v/>
      </c>
      <c r="BS37" s="1"/>
    </row>
    <row r="38" spans="2:71" ht="70.5" customHeight="1" x14ac:dyDescent="0.25">
      <c r="B38" s="63"/>
      <c r="C38" s="64" t="str">
        <f>IFERROR(VLOOKUP(B38,Table_PrewrittenCode[#All],2,0),"")</f>
        <v/>
      </c>
      <c r="D38" s="32" t="str">
        <f>IFERROR(VLOOKUP(B38,Table_PrewrittenCode[#All],3,0),"")</f>
        <v/>
      </c>
      <c r="E38" s="54"/>
      <c r="F38" s="58" t="str">
        <f t="shared" si="0"/>
        <v/>
      </c>
      <c r="G38" s="54"/>
      <c r="H38" s="59" t="str">
        <f t="shared" si="1"/>
        <v/>
      </c>
      <c r="I38" s="48" t="str">
        <f t="shared" si="2"/>
        <v/>
      </c>
      <c r="J38" s="54"/>
      <c r="K38" s="60" t="str">
        <f t="shared" si="3"/>
        <v/>
      </c>
      <c r="L38" s="32" t="str">
        <f t="shared" si="4"/>
        <v/>
      </c>
      <c r="M38" s="32" t="str">
        <f t="shared" si="5"/>
        <v/>
      </c>
      <c r="N38" s="55"/>
      <c r="O38" s="66" t="str">
        <f t="shared" si="6"/>
        <v/>
      </c>
      <c r="P38" s="65"/>
      <c r="Q38" s="60" t="str">
        <f t="shared" si="7"/>
        <v/>
      </c>
      <c r="R38" s="32" t="str">
        <f t="shared" si="8"/>
        <v/>
      </c>
      <c r="S38" s="34" t="str">
        <f t="shared" si="9"/>
        <v/>
      </c>
      <c r="T38" s="32" t="str">
        <f t="shared" si="10"/>
        <v/>
      </c>
      <c r="U38" s="32" t="str">
        <f t="shared" si="11"/>
        <v/>
      </c>
      <c r="V38" s="32" t="str">
        <f t="shared" si="12"/>
        <v/>
      </c>
      <c r="W38" s="32" t="str">
        <f t="shared" si="13"/>
        <v/>
      </c>
      <c r="X38" s="32" t="str">
        <f t="shared" si="14"/>
        <v/>
      </c>
      <c r="Y38" s="32" t="str">
        <f t="shared" si="15"/>
        <v/>
      </c>
      <c r="Z38" s="32" t="str">
        <f t="shared" si="16"/>
        <v/>
      </c>
      <c r="AA38" s="32" t="str">
        <f t="shared" si="17"/>
        <v/>
      </c>
      <c r="AB38" s="32" t="str">
        <f t="shared" si="18"/>
        <v/>
      </c>
      <c r="AC38" s="35" t="str">
        <f t="shared" si="19"/>
        <v/>
      </c>
      <c r="AD38" s="32" t="str">
        <f t="shared" si="20"/>
        <v/>
      </c>
      <c r="AE38" s="32" t="str">
        <f t="shared" si="21"/>
        <v/>
      </c>
      <c r="AF38" s="32" t="str">
        <f t="shared" si="22"/>
        <v/>
      </c>
      <c r="AG38" s="32" t="str">
        <f t="shared" si="23"/>
        <v/>
      </c>
      <c r="AH38" s="32" t="str">
        <f t="shared" si="24"/>
        <v/>
      </c>
      <c r="AI38" s="32" t="str">
        <f t="shared" si="25"/>
        <v/>
      </c>
      <c r="AJ38" s="32" t="str">
        <f t="shared" si="26"/>
        <v/>
      </c>
      <c r="AK38" s="61" t="str">
        <f t="shared" si="27"/>
        <v/>
      </c>
      <c r="AL38" s="54"/>
      <c r="AM38" s="60" t="str">
        <f t="shared" si="28"/>
        <v/>
      </c>
      <c r="AN38" s="38"/>
      <c r="AO38" s="32" t="str">
        <f t="shared" si="29"/>
        <v/>
      </c>
      <c r="AP38" s="32" t="str">
        <f t="shared" si="30"/>
        <v/>
      </c>
      <c r="AQ38" s="32" t="str">
        <f t="shared" si="31"/>
        <v/>
      </c>
      <c r="AR38" s="32" t="str">
        <f t="shared" si="32"/>
        <v/>
      </c>
      <c r="AS38" s="32" t="str">
        <f t="shared" si="33"/>
        <v/>
      </c>
      <c r="AT38" s="32" t="str">
        <f t="shared" si="34"/>
        <v/>
      </c>
      <c r="AU38" s="32" t="str">
        <f t="shared" si="35"/>
        <v/>
      </c>
      <c r="AV38" s="32" t="str">
        <f t="shared" si="36"/>
        <v/>
      </c>
      <c r="AW38" s="32" t="str">
        <f t="shared" si="37"/>
        <v/>
      </c>
      <c r="AX38" s="32" t="str">
        <f t="shared" si="38"/>
        <v/>
      </c>
      <c r="AY38" s="32" t="str">
        <f t="shared" si="39"/>
        <v/>
      </c>
      <c r="AZ38" s="32" t="str">
        <f t="shared" si="40"/>
        <v/>
      </c>
      <c r="BA38" s="32" t="str">
        <f t="shared" si="41"/>
        <v/>
      </c>
      <c r="BB38" s="70"/>
      <c r="BC38" s="71" t="str">
        <f t="shared" si="42"/>
        <v/>
      </c>
      <c r="BD38" s="55"/>
      <c r="BE38" s="62" t="str">
        <f t="shared" si="43"/>
        <v/>
      </c>
      <c r="BF38" s="35" t="str">
        <f t="shared" si="44"/>
        <v/>
      </c>
      <c r="BG38" s="38"/>
      <c r="BH38" s="35" t="str">
        <f t="shared" si="45"/>
        <v/>
      </c>
      <c r="BI38" s="35" t="str">
        <f t="shared" si="46"/>
        <v/>
      </c>
      <c r="BJ38" s="38"/>
      <c r="BK38" s="35" t="str">
        <f t="shared" si="47"/>
        <v/>
      </c>
      <c r="BL38" s="35" t="str">
        <f t="shared" si="48"/>
        <v/>
      </c>
      <c r="BM38" s="38"/>
      <c r="BN38" s="35" t="str">
        <f t="shared" si="49"/>
        <v/>
      </c>
      <c r="BO38" s="35" t="str">
        <f t="shared" si="50"/>
        <v/>
      </c>
      <c r="BP38" s="32" t="str">
        <f t="shared" si="51"/>
        <v/>
      </c>
      <c r="BQ38" s="35" t="str">
        <f t="shared" si="52"/>
        <v/>
      </c>
      <c r="BR38" s="37" t="str">
        <f t="shared" si="53"/>
        <v/>
      </c>
      <c r="BS38" s="1"/>
    </row>
    <row r="39" spans="2:71" ht="70.5" customHeight="1" x14ac:dyDescent="0.25">
      <c r="B39" s="63"/>
      <c r="C39" s="64" t="str">
        <f>IFERROR(VLOOKUP(B39,Table_PrewrittenCode[#All],2,0),"")</f>
        <v/>
      </c>
      <c r="D39" s="32" t="str">
        <f>IFERROR(VLOOKUP(B39,Table_PrewrittenCode[#All],3,0),"")</f>
        <v/>
      </c>
      <c r="E39" s="54"/>
      <c r="F39" s="58" t="str">
        <f t="shared" si="0"/>
        <v/>
      </c>
      <c r="G39" s="54"/>
      <c r="H39" s="59" t="str">
        <f t="shared" si="1"/>
        <v/>
      </c>
      <c r="I39" s="48" t="str">
        <f t="shared" si="2"/>
        <v/>
      </c>
      <c r="J39" s="54"/>
      <c r="K39" s="60" t="str">
        <f t="shared" si="3"/>
        <v/>
      </c>
      <c r="L39" s="32" t="str">
        <f t="shared" si="4"/>
        <v/>
      </c>
      <c r="M39" s="32" t="str">
        <f t="shared" si="5"/>
        <v/>
      </c>
      <c r="N39" s="55"/>
      <c r="O39" s="66" t="str">
        <f t="shared" si="6"/>
        <v/>
      </c>
      <c r="P39" s="65"/>
      <c r="Q39" s="60" t="str">
        <f t="shared" si="7"/>
        <v/>
      </c>
      <c r="R39" s="32" t="str">
        <f t="shared" si="8"/>
        <v/>
      </c>
      <c r="S39" s="34" t="str">
        <f t="shared" si="9"/>
        <v/>
      </c>
      <c r="T39" s="32" t="str">
        <f t="shared" si="10"/>
        <v/>
      </c>
      <c r="U39" s="32" t="str">
        <f t="shared" si="11"/>
        <v/>
      </c>
      <c r="V39" s="32" t="str">
        <f t="shared" si="12"/>
        <v/>
      </c>
      <c r="W39" s="32" t="str">
        <f t="shared" si="13"/>
        <v/>
      </c>
      <c r="X39" s="32" t="str">
        <f t="shared" si="14"/>
        <v/>
      </c>
      <c r="Y39" s="32" t="str">
        <f t="shared" si="15"/>
        <v/>
      </c>
      <c r="Z39" s="32" t="str">
        <f t="shared" si="16"/>
        <v/>
      </c>
      <c r="AA39" s="32" t="str">
        <f t="shared" si="17"/>
        <v/>
      </c>
      <c r="AB39" s="32" t="str">
        <f t="shared" si="18"/>
        <v/>
      </c>
      <c r="AC39" s="35" t="str">
        <f t="shared" si="19"/>
        <v/>
      </c>
      <c r="AD39" s="32" t="str">
        <f t="shared" si="20"/>
        <v/>
      </c>
      <c r="AE39" s="32" t="str">
        <f t="shared" si="21"/>
        <v/>
      </c>
      <c r="AF39" s="32" t="str">
        <f t="shared" si="22"/>
        <v/>
      </c>
      <c r="AG39" s="32" t="str">
        <f t="shared" si="23"/>
        <v/>
      </c>
      <c r="AH39" s="32" t="str">
        <f t="shared" si="24"/>
        <v/>
      </c>
      <c r="AI39" s="32" t="str">
        <f t="shared" si="25"/>
        <v/>
      </c>
      <c r="AJ39" s="32" t="str">
        <f t="shared" si="26"/>
        <v/>
      </c>
      <c r="AK39" s="61" t="str">
        <f t="shared" si="27"/>
        <v/>
      </c>
      <c r="AL39" s="54"/>
      <c r="AM39" s="60" t="str">
        <f t="shared" si="28"/>
        <v/>
      </c>
      <c r="AN39" s="38"/>
      <c r="AO39" s="32" t="str">
        <f t="shared" si="29"/>
        <v/>
      </c>
      <c r="AP39" s="32" t="str">
        <f t="shared" si="30"/>
        <v/>
      </c>
      <c r="AQ39" s="32" t="str">
        <f t="shared" si="31"/>
        <v/>
      </c>
      <c r="AR39" s="32" t="str">
        <f t="shared" si="32"/>
        <v/>
      </c>
      <c r="AS39" s="32" t="str">
        <f t="shared" si="33"/>
        <v/>
      </c>
      <c r="AT39" s="32" t="str">
        <f t="shared" si="34"/>
        <v/>
      </c>
      <c r="AU39" s="32" t="str">
        <f t="shared" si="35"/>
        <v/>
      </c>
      <c r="AV39" s="32" t="str">
        <f t="shared" si="36"/>
        <v/>
      </c>
      <c r="AW39" s="32" t="str">
        <f t="shared" si="37"/>
        <v/>
      </c>
      <c r="AX39" s="32" t="str">
        <f t="shared" si="38"/>
        <v/>
      </c>
      <c r="AY39" s="32" t="str">
        <f t="shared" si="39"/>
        <v/>
      </c>
      <c r="AZ39" s="32" t="str">
        <f t="shared" si="40"/>
        <v/>
      </c>
      <c r="BA39" s="32" t="str">
        <f t="shared" si="41"/>
        <v/>
      </c>
      <c r="BB39" s="70"/>
      <c r="BC39" s="71" t="str">
        <f t="shared" si="42"/>
        <v/>
      </c>
      <c r="BD39" s="55"/>
      <c r="BE39" s="62" t="str">
        <f t="shared" si="43"/>
        <v/>
      </c>
      <c r="BF39" s="35" t="str">
        <f t="shared" si="44"/>
        <v/>
      </c>
      <c r="BG39" s="38"/>
      <c r="BH39" s="35" t="str">
        <f t="shared" si="45"/>
        <v/>
      </c>
      <c r="BI39" s="35" t="str">
        <f t="shared" si="46"/>
        <v/>
      </c>
      <c r="BJ39" s="38"/>
      <c r="BK39" s="35" t="str">
        <f t="shared" si="47"/>
        <v/>
      </c>
      <c r="BL39" s="35" t="str">
        <f t="shared" si="48"/>
        <v/>
      </c>
      <c r="BM39" s="38"/>
      <c r="BN39" s="35" t="str">
        <f t="shared" si="49"/>
        <v/>
      </c>
      <c r="BO39" s="35" t="str">
        <f t="shared" si="50"/>
        <v/>
      </c>
      <c r="BP39" s="32" t="str">
        <f t="shared" si="51"/>
        <v/>
      </c>
      <c r="BQ39" s="35" t="str">
        <f t="shared" si="52"/>
        <v/>
      </c>
      <c r="BR39" s="37" t="str">
        <f t="shared" si="53"/>
        <v/>
      </c>
      <c r="BS39" s="1"/>
    </row>
    <row r="40" spans="2:71" ht="70.5" customHeight="1" x14ac:dyDescent="0.25">
      <c r="B40" s="63"/>
      <c r="C40" s="64" t="str">
        <f>IFERROR(VLOOKUP(B40,Table_PrewrittenCode[#All],2,0),"")</f>
        <v/>
      </c>
      <c r="D40" s="32" t="str">
        <f>IFERROR(VLOOKUP(B40,Table_PrewrittenCode[#All],3,0),"")</f>
        <v/>
      </c>
      <c r="E40" s="54"/>
      <c r="F40" s="58" t="str">
        <f t="shared" si="0"/>
        <v/>
      </c>
      <c r="G40" s="54"/>
      <c r="H40" s="59" t="str">
        <f t="shared" si="1"/>
        <v/>
      </c>
      <c r="I40" s="48" t="str">
        <f t="shared" si="2"/>
        <v/>
      </c>
      <c r="J40" s="54"/>
      <c r="K40" s="60" t="str">
        <f t="shared" si="3"/>
        <v/>
      </c>
      <c r="L40" s="32" t="str">
        <f t="shared" si="4"/>
        <v/>
      </c>
      <c r="M40" s="32" t="str">
        <f t="shared" si="5"/>
        <v/>
      </c>
      <c r="N40" s="55"/>
      <c r="O40" s="66" t="str">
        <f t="shared" si="6"/>
        <v/>
      </c>
      <c r="P40" s="65"/>
      <c r="Q40" s="60" t="str">
        <f t="shared" si="7"/>
        <v/>
      </c>
      <c r="R40" s="32" t="str">
        <f t="shared" si="8"/>
        <v/>
      </c>
      <c r="S40" s="34" t="str">
        <f t="shared" si="9"/>
        <v/>
      </c>
      <c r="T40" s="32" t="str">
        <f t="shared" si="10"/>
        <v/>
      </c>
      <c r="U40" s="32" t="str">
        <f t="shared" si="11"/>
        <v/>
      </c>
      <c r="V40" s="32" t="str">
        <f t="shared" si="12"/>
        <v/>
      </c>
      <c r="W40" s="32" t="str">
        <f t="shared" si="13"/>
        <v/>
      </c>
      <c r="X40" s="32" t="str">
        <f t="shared" si="14"/>
        <v/>
      </c>
      <c r="Y40" s="32" t="str">
        <f t="shared" si="15"/>
        <v/>
      </c>
      <c r="Z40" s="32" t="str">
        <f t="shared" si="16"/>
        <v/>
      </c>
      <c r="AA40" s="32" t="str">
        <f t="shared" si="17"/>
        <v/>
      </c>
      <c r="AB40" s="32" t="str">
        <f t="shared" si="18"/>
        <v/>
      </c>
      <c r="AC40" s="35" t="str">
        <f t="shared" si="19"/>
        <v/>
      </c>
      <c r="AD40" s="32" t="str">
        <f t="shared" si="20"/>
        <v/>
      </c>
      <c r="AE40" s="32" t="str">
        <f t="shared" si="21"/>
        <v/>
      </c>
      <c r="AF40" s="32" t="str">
        <f t="shared" si="22"/>
        <v/>
      </c>
      <c r="AG40" s="32" t="str">
        <f t="shared" si="23"/>
        <v/>
      </c>
      <c r="AH40" s="32" t="str">
        <f t="shared" si="24"/>
        <v/>
      </c>
      <c r="AI40" s="32" t="str">
        <f t="shared" si="25"/>
        <v/>
      </c>
      <c r="AJ40" s="32" t="str">
        <f t="shared" si="26"/>
        <v/>
      </c>
      <c r="AK40" s="61" t="str">
        <f t="shared" si="27"/>
        <v/>
      </c>
      <c r="AL40" s="54"/>
      <c r="AM40" s="60" t="str">
        <f t="shared" si="28"/>
        <v/>
      </c>
      <c r="AN40" s="38"/>
      <c r="AO40" s="32" t="str">
        <f t="shared" si="29"/>
        <v/>
      </c>
      <c r="AP40" s="32" t="str">
        <f t="shared" si="30"/>
        <v/>
      </c>
      <c r="AQ40" s="32" t="str">
        <f t="shared" si="31"/>
        <v/>
      </c>
      <c r="AR40" s="32" t="str">
        <f t="shared" si="32"/>
        <v/>
      </c>
      <c r="AS40" s="32" t="str">
        <f t="shared" si="33"/>
        <v/>
      </c>
      <c r="AT40" s="32" t="str">
        <f t="shared" si="34"/>
        <v/>
      </c>
      <c r="AU40" s="32" t="str">
        <f t="shared" si="35"/>
        <v/>
      </c>
      <c r="AV40" s="32" t="str">
        <f t="shared" si="36"/>
        <v/>
      </c>
      <c r="AW40" s="32" t="str">
        <f t="shared" si="37"/>
        <v/>
      </c>
      <c r="AX40" s="32" t="str">
        <f t="shared" si="38"/>
        <v/>
      </c>
      <c r="AY40" s="32" t="str">
        <f t="shared" si="39"/>
        <v/>
      </c>
      <c r="AZ40" s="32" t="str">
        <f t="shared" si="40"/>
        <v/>
      </c>
      <c r="BA40" s="32" t="str">
        <f t="shared" si="41"/>
        <v/>
      </c>
      <c r="BB40" s="70"/>
      <c r="BC40" s="71" t="str">
        <f t="shared" si="42"/>
        <v/>
      </c>
      <c r="BD40" s="55"/>
      <c r="BE40" s="62" t="str">
        <f t="shared" si="43"/>
        <v/>
      </c>
      <c r="BF40" s="35" t="str">
        <f t="shared" si="44"/>
        <v/>
      </c>
      <c r="BG40" s="38"/>
      <c r="BH40" s="35" t="str">
        <f t="shared" si="45"/>
        <v/>
      </c>
      <c r="BI40" s="35" t="str">
        <f t="shared" si="46"/>
        <v/>
      </c>
      <c r="BJ40" s="38"/>
      <c r="BK40" s="35" t="str">
        <f t="shared" si="47"/>
        <v/>
      </c>
      <c r="BL40" s="35" t="str">
        <f t="shared" si="48"/>
        <v/>
      </c>
      <c r="BM40" s="38"/>
      <c r="BN40" s="35" t="str">
        <f t="shared" si="49"/>
        <v/>
      </c>
      <c r="BO40" s="35" t="str">
        <f t="shared" si="50"/>
        <v/>
      </c>
      <c r="BP40" s="32" t="str">
        <f t="shared" si="51"/>
        <v/>
      </c>
      <c r="BQ40" s="35" t="str">
        <f t="shared" si="52"/>
        <v/>
      </c>
      <c r="BR40" s="37" t="str">
        <f t="shared" si="53"/>
        <v/>
      </c>
      <c r="BS40" s="1"/>
    </row>
    <row r="41" spans="2:71" ht="70.5" customHeight="1" x14ac:dyDescent="0.25">
      <c r="B41" s="63"/>
      <c r="C41" s="64" t="str">
        <f>IFERROR(VLOOKUP(B41,Table_PrewrittenCode[#All],2,0),"")</f>
        <v/>
      </c>
      <c r="D41" s="32" t="str">
        <f>IFERROR(VLOOKUP(B41,Table_PrewrittenCode[#All],3,0),"")</f>
        <v/>
      </c>
      <c r="E41" s="54"/>
      <c r="F41" s="58" t="str">
        <f t="shared" si="0"/>
        <v/>
      </c>
      <c r="G41" s="54"/>
      <c r="H41" s="59" t="str">
        <f t="shared" si="1"/>
        <v/>
      </c>
      <c r="I41" s="48" t="str">
        <f t="shared" si="2"/>
        <v/>
      </c>
      <c r="J41" s="54"/>
      <c r="K41" s="60" t="str">
        <f t="shared" si="3"/>
        <v/>
      </c>
      <c r="L41" s="32" t="str">
        <f t="shared" si="4"/>
        <v/>
      </c>
      <c r="M41" s="32" t="str">
        <f t="shared" si="5"/>
        <v/>
      </c>
      <c r="N41" s="55"/>
      <c r="O41" s="66" t="str">
        <f t="shared" si="6"/>
        <v/>
      </c>
      <c r="P41" s="65"/>
      <c r="Q41" s="60" t="str">
        <f t="shared" si="7"/>
        <v/>
      </c>
      <c r="R41" s="32" t="str">
        <f t="shared" si="8"/>
        <v/>
      </c>
      <c r="S41" s="34" t="str">
        <f t="shared" si="9"/>
        <v/>
      </c>
      <c r="T41" s="32" t="str">
        <f t="shared" si="10"/>
        <v/>
      </c>
      <c r="U41" s="32" t="str">
        <f t="shared" si="11"/>
        <v/>
      </c>
      <c r="V41" s="32" t="str">
        <f t="shared" si="12"/>
        <v/>
      </c>
      <c r="W41" s="32" t="str">
        <f t="shared" si="13"/>
        <v/>
      </c>
      <c r="X41" s="32" t="str">
        <f t="shared" si="14"/>
        <v/>
      </c>
      <c r="Y41" s="32" t="str">
        <f t="shared" si="15"/>
        <v/>
      </c>
      <c r="Z41" s="32" t="str">
        <f t="shared" si="16"/>
        <v/>
      </c>
      <c r="AA41" s="32" t="str">
        <f t="shared" si="17"/>
        <v/>
      </c>
      <c r="AB41" s="32" t="str">
        <f t="shared" si="18"/>
        <v/>
      </c>
      <c r="AC41" s="35" t="str">
        <f t="shared" si="19"/>
        <v/>
      </c>
      <c r="AD41" s="32" t="str">
        <f t="shared" si="20"/>
        <v/>
      </c>
      <c r="AE41" s="32" t="str">
        <f t="shared" si="21"/>
        <v/>
      </c>
      <c r="AF41" s="32" t="str">
        <f t="shared" si="22"/>
        <v/>
      </c>
      <c r="AG41" s="32" t="str">
        <f t="shared" si="23"/>
        <v/>
      </c>
      <c r="AH41" s="32" t="str">
        <f t="shared" si="24"/>
        <v/>
      </c>
      <c r="AI41" s="32" t="str">
        <f t="shared" si="25"/>
        <v/>
      </c>
      <c r="AJ41" s="32" t="str">
        <f t="shared" si="26"/>
        <v/>
      </c>
      <c r="AK41" s="61" t="str">
        <f t="shared" si="27"/>
        <v/>
      </c>
      <c r="AL41" s="54"/>
      <c r="AM41" s="60" t="str">
        <f t="shared" si="28"/>
        <v/>
      </c>
      <c r="AN41" s="38"/>
      <c r="AO41" s="32" t="str">
        <f t="shared" si="29"/>
        <v/>
      </c>
      <c r="AP41" s="32" t="str">
        <f t="shared" si="30"/>
        <v/>
      </c>
      <c r="AQ41" s="32" t="str">
        <f t="shared" si="31"/>
        <v/>
      </c>
      <c r="AR41" s="32" t="str">
        <f t="shared" si="32"/>
        <v/>
      </c>
      <c r="AS41" s="32" t="str">
        <f t="shared" si="33"/>
        <v/>
      </c>
      <c r="AT41" s="32" t="str">
        <f t="shared" si="34"/>
        <v/>
      </c>
      <c r="AU41" s="32" t="str">
        <f t="shared" si="35"/>
        <v/>
      </c>
      <c r="AV41" s="32" t="str">
        <f t="shared" si="36"/>
        <v/>
      </c>
      <c r="AW41" s="32" t="str">
        <f t="shared" si="37"/>
        <v/>
      </c>
      <c r="AX41" s="32" t="str">
        <f t="shared" si="38"/>
        <v/>
      </c>
      <c r="AY41" s="32" t="str">
        <f t="shared" si="39"/>
        <v/>
      </c>
      <c r="AZ41" s="32" t="str">
        <f t="shared" si="40"/>
        <v/>
      </c>
      <c r="BA41" s="32" t="str">
        <f t="shared" si="41"/>
        <v/>
      </c>
      <c r="BB41" s="70"/>
      <c r="BC41" s="71" t="str">
        <f t="shared" si="42"/>
        <v/>
      </c>
      <c r="BD41" s="55"/>
      <c r="BE41" s="62" t="str">
        <f t="shared" si="43"/>
        <v/>
      </c>
      <c r="BF41" s="35" t="str">
        <f t="shared" si="44"/>
        <v/>
      </c>
      <c r="BG41" s="38"/>
      <c r="BH41" s="35" t="str">
        <f t="shared" si="45"/>
        <v/>
      </c>
      <c r="BI41" s="35" t="str">
        <f t="shared" si="46"/>
        <v/>
      </c>
      <c r="BJ41" s="38"/>
      <c r="BK41" s="35" t="str">
        <f t="shared" si="47"/>
        <v/>
      </c>
      <c r="BL41" s="35" t="str">
        <f t="shared" si="48"/>
        <v/>
      </c>
      <c r="BM41" s="38"/>
      <c r="BN41" s="35" t="str">
        <f t="shared" si="49"/>
        <v/>
      </c>
      <c r="BO41" s="35" t="str">
        <f t="shared" si="50"/>
        <v/>
      </c>
      <c r="BP41" s="32" t="str">
        <f t="shared" si="51"/>
        <v/>
      </c>
      <c r="BQ41" s="35" t="str">
        <f t="shared" si="52"/>
        <v/>
      </c>
      <c r="BR41" s="37" t="str">
        <f t="shared" si="53"/>
        <v/>
      </c>
      <c r="BS41" s="1"/>
    </row>
    <row r="42" spans="2:71" ht="70.5" customHeight="1" x14ac:dyDescent="0.25">
      <c r="B42" s="63"/>
      <c r="C42" s="64" t="str">
        <f>IFERROR(VLOOKUP(B42,Table_PrewrittenCode[#All],2,0),"")</f>
        <v/>
      </c>
      <c r="D42" s="32" t="str">
        <f>IFERROR(VLOOKUP(B42,Table_PrewrittenCode[#All],3,0),"")</f>
        <v/>
      </c>
      <c r="E42" s="54"/>
      <c r="F42" s="58" t="str">
        <f t="shared" si="0"/>
        <v/>
      </c>
      <c r="G42" s="54"/>
      <c r="H42" s="59" t="str">
        <f t="shared" si="1"/>
        <v/>
      </c>
      <c r="I42" s="48" t="str">
        <f t="shared" si="2"/>
        <v/>
      </c>
      <c r="J42" s="54"/>
      <c r="K42" s="60" t="str">
        <f t="shared" si="3"/>
        <v/>
      </c>
      <c r="L42" s="32" t="str">
        <f t="shared" si="4"/>
        <v/>
      </c>
      <c r="M42" s="32" t="str">
        <f t="shared" si="5"/>
        <v/>
      </c>
      <c r="N42" s="55"/>
      <c r="O42" s="66" t="str">
        <f t="shared" si="6"/>
        <v/>
      </c>
      <c r="P42" s="65"/>
      <c r="Q42" s="60" t="str">
        <f t="shared" si="7"/>
        <v/>
      </c>
      <c r="R42" s="32" t="str">
        <f t="shared" si="8"/>
        <v/>
      </c>
      <c r="S42" s="34" t="str">
        <f t="shared" si="9"/>
        <v/>
      </c>
      <c r="T42" s="32" t="str">
        <f t="shared" si="10"/>
        <v/>
      </c>
      <c r="U42" s="32" t="str">
        <f t="shared" si="11"/>
        <v/>
      </c>
      <c r="V42" s="32" t="str">
        <f t="shared" si="12"/>
        <v/>
      </c>
      <c r="W42" s="32" t="str">
        <f t="shared" si="13"/>
        <v/>
      </c>
      <c r="X42" s="32" t="str">
        <f t="shared" si="14"/>
        <v/>
      </c>
      <c r="Y42" s="32" t="str">
        <f t="shared" si="15"/>
        <v/>
      </c>
      <c r="Z42" s="32" t="str">
        <f t="shared" si="16"/>
        <v/>
      </c>
      <c r="AA42" s="32" t="str">
        <f t="shared" si="17"/>
        <v/>
      </c>
      <c r="AB42" s="32" t="str">
        <f t="shared" si="18"/>
        <v/>
      </c>
      <c r="AC42" s="35" t="str">
        <f t="shared" si="19"/>
        <v/>
      </c>
      <c r="AD42" s="32" t="str">
        <f t="shared" si="20"/>
        <v/>
      </c>
      <c r="AE42" s="32" t="str">
        <f t="shared" si="21"/>
        <v/>
      </c>
      <c r="AF42" s="32" t="str">
        <f t="shared" si="22"/>
        <v/>
      </c>
      <c r="AG42" s="32" t="str">
        <f t="shared" si="23"/>
        <v/>
      </c>
      <c r="AH42" s="32" t="str">
        <f t="shared" si="24"/>
        <v/>
      </c>
      <c r="AI42" s="32" t="str">
        <f t="shared" si="25"/>
        <v/>
      </c>
      <c r="AJ42" s="32" t="str">
        <f t="shared" si="26"/>
        <v/>
      </c>
      <c r="AK42" s="61" t="str">
        <f t="shared" si="27"/>
        <v/>
      </c>
      <c r="AL42" s="54"/>
      <c r="AM42" s="60" t="str">
        <f t="shared" si="28"/>
        <v/>
      </c>
      <c r="AN42" s="38"/>
      <c r="AO42" s="32" t="str">
        <f t="shared" si="29"/>
        <v/>
      </c>
      <c r="AP42" s="32" t="str">
        <f t="shared" si="30"/>
        <v/>
      </c>
      <c r="AQ42" s="32" t="str">
        <f t="shared" si="31"/>
        <v/>
      </c>
      <c r="AR42" s="32" t="str">
        <f t="shared" si="32"/>
        <v/>
      </c>
      <c r="AS42" s="32" t="str">
        <f t="shared" si="33"/>
        <v/>
      </c>
      <c r="AT42" s="32" t="str">
        <f t="shared" si="34"/>
        <v/>
      </c>
      <c r="AU42" s="32" t="str">
        <f t="shared" si="35"/>
        <v/>
      </c>
      <c r="AV42" s="32" t="str">
        <f t="shared" si="36"/>
        <v/>
      </c>
      <c r="AW42" s="32" t="str">
        <f t="shared" si="37"/>
        <v/>
      </c>
      <c r="AX42" s="32" t="str">
        <f t="shared" si="38"/>
        <v/>
      </c>
      <c r="AY42" s="32" t="str">
        <f t="shared" si="39"/>
        <v/>
      </c>
      <c r="AZ42" s="32" t="str">
        <f t="shared" si="40"/>
        <v/>
      </c>
      <c r="BA42" s="32" t="str">
        <f t="shared" si="41"/>
        <v/>
      </c>
      <c r="BB42" s="70"/>
      <c r="BC42" s="71" t="str">
        <f t="shared" si="42"/>
        <v/>
      </c>
      <c r="BD42" s="55"/>
      <c r="BE42" s="62" t="str">
        <f t="shared" si="43"/>
        <v/>
      </c>
      <c r="BF42" s="35" t="str">
        <f t="shared" si="44"/>
        <v/>
      </c>
      <c r="BG42" s="38"/>
      <c r="BH42" s="35" t="str">
        <f t="shared" si="45"/>
        <v/>
      </c>
      <c r="BI42" s="35" t="str">
        <f t="shared" si="46"/>
        <v/>
      </c>
      <c r="BJ42" s="38"/>
      <c r="BK42" s="35" t="str">
        <f t="shared" si="47"/>
        <v/>
      </c>
      <c r="BL42" s="35" t="str">
        <f t="shared" si="48"/>
        <v/>
      </c>
      <c r="BM42" s="38"/>
      <c r="BN42" s="35" t="str">
        <f t="shared" si="49"/>
        <v/>
      </c>
      <c r="BO42" s="35" t="str">
        <f t="shared" si="50"/>
        <v/>
      </c>
      <c r="BP42" s="32" t="str">
        <f t="shared" si="51"/>
        <v/>
      </c>
      <c r="BQ42" s="35" t="str">
        <f t="shared" si="52"/>
        <v/>
      </c>
      <c r="BR42" s="37" t="str">
        <f t="shared" si="53"/>
        <v/>
      </c>
      <c r="BS42" s="1"/>
    </row>
    <row r="43" spans="2:71" ht="70.5" customHeight="1" x14ac:dyDescent="0.25">
      <c r="B43" s="63"/>
      <c r="C43" s="64" t="str">
        <f>IFERROR(VLOOKUP(B43,Table_PrewrittenCode[#All],2,0),"")</f>
        <v/>
      </c>
      <c r="D43" s="32" t="str">
        <f>IFERROR(VLOOKUP(B43,Table_PrewrittenCode[#All],3,0),"")</f>
        <v/>
      </c>
      <c r="E43" s="54"/>
      <c r="F43" s="58" t="str">
        <f t="shared" si="0"/>
        <v/>
      </c>
      <c r="G43" s="54"/>
      <c r="H43" s="59" t="str">
        <f t="shared" si="1"/>
        <v/>
      </c>
      <c r="I43" s="48" t="str">
        <f t="shared" si="2"/>
        <v/>
      </c>
      <c r="J43" s="54"/>
      <c r="K43" s="60" t="str">
        <f t="shared" si="3"/>
        <v/>
      </c>
      <c r="L43" s="32" t="str">
        <f t="shared" si="4"/>
        <v/>
      </c>
      <c r="M43" s="32" t="str">
        <f t="shared" si="5"/>
        <v/>
      </c>
      <c r="N43" s="55"/>
      <c r="O43" s="66" t="str">
        <f t="shared" si="6"/>
        <v/>
      </c>
      <c r="P43" s="65"/>
      <c r="Q43" s="60" t="str">
        <f t="shared" si="7"/>
        <v/>
      </c>
      <c r="R43" s="32" t="str">
        <f t="shared" si="8"/>
        <v/>
      </c>
      <c r="S43" s="34" t="str">
        <f t="shared" si="9"/>
        <v/>
      </c>
      <c r="T43" s="32" t="str">
        <f t="shared" si="10"/>
        <v/>
      </c>
      <c r="U43" s="32" t="str">
        <f t="shared" si="11"/>
        <v/>
      </c>
      <c r="V43" s="32" t="str">
        <f t="shared" si="12"/>
        <v/>
      </c>
      <c r="W43" s="32" t="str">
        <f t="shared" si="13"/>
        <v/>
      </c>
      <c r="X43" s="32" t="str">
        <f t="shared" si="14"/>
        <v/>
      </c>
      <c r="Y43" s="32" t="str">
        <f t="shared" si="15"/>
        <v/>
      </c>
      <c r="Z43" s="32" t="str">
        <f t="shared" si="16"/>
        <v/>
      </c>
      <c r="AA43" s="32" t="str">
        <f t="shared" si="17"/>
        <v/>
      </c>
      <c r="AB43" s="32" t="str">
        <f t="shared" si="18"/>
        <v/>
      </c>
      <c r="AC43" s="35" t="str">
        <f t="shared" si="19"/>
        <v/>
      </c>
      <c r="AD43" s="32" t="str">
        <f t="shared" si="20"/>
        <v/>
      </c>
      <c r="AE43" s="32" t="str">
        <f t="shared" si="21"/>
        <v/>
      </c>
      <c r="AF43" s="32" t="str">
        <f t="shared" si="22"/>
        <v/>
      </c>
      <c r="AG43" s="32" t="str">
        <f t="shared" si="23"/>
        <v/>
      </c>
      <c r="AH43" s="32" t="str">
        <f t="shared" si="24"/>
        <v/>
      </c>
      <c r="AI43" s="32" t="str">
        <f t="shared" si="25"/>
        <v/>
      </c>
      <c r="AJ43" s="32" t="str">
        <f t="shared" si="26"/>
        <v/>
      </c>
      <c r="AK43" s="61" t="str">
        <f t="shared" si="27"/>
        <v/>
      </c>
      <c r="AL43" s="54"/>
      <c r="AM43" s="60" t="str">
        <f t="shared" si="28"/>
        <v/>
      </c>
      <c r="AN43" s="38"/>
      <c r="AO43" s="32" t="str">
        <f t="shared" si="29"/>
        <v/>
      </c>
      <c r="AP43" s="32" t="str">
        <f t="shared" si="30"/>
        <v/>
      </c>
      <c r="AQ43" s="32" t="str">
        <f t="shared" si="31"/>
        <v/>
      </c>
      <c r="AR43" s="32" t="str">
        <f t="shared" si="32"/>
        <v/>
      </c>
      <c r="AS43" s="32" t="str">
        <f t="shared" si="33"/>
        <v/>
      </c>
      <c r="AT43" s="32" t="str">
        <f t="shared" si="34"/>
        <v/>
      </c>
      <c r="AU43" s="32" t="str">
        <f t="shared" si="35"/>
        <v/>
      </c>
      <c r="AV43" s="32" t="str">
        <f t="shared" si="36"/>
        <v/>
      </c>
      <c r="AW43" s="32" t="str">
        <f t="shared" si="37"/>
        <v/>
      </c>
      <c r="AX43" s="32" t="str">
        <f t="shared" si="38"/>
        <v/>
      </c>
      <c r="AY43" s="32" t="str">
        <f t="shared" si="39"/>
        <v/>
      </c>
      <c r="AZ43" s="32" t="str">
        <f t="shared" si="40"/>
        <v/>
      </c>
      <c r="BA43" s="32" t="str">
        <f t="shared" si="41"/>
        <v/>
      </c>
      <c r="BB43" s="70"/>
      <c r="BC43" s="71" t="str">
        <f t="shared" si="42"/>
        <v/>
      </c>
      <c r="BD43" s="55"/>
      <c r="BE43" s="62" t="str">
        <f t="shared" si="43"/>
        <v/>
      </c>
      <c r="BF43" s="35" t="str">
        <f t="shared" si="44"/>
        <v/>
      </c>
      <c r="BG43" s="38"/>
      <c r="BH43" s="35" t="str">
        <f t="shared" si="45"/>
        <v/>
      </c>
      <c r="BI43" s="35" t="str">
        <f t="shared" si="46"/>
        <v/>
      </c>
      <c r="BJ43" s="38"/>
      <c r="BK43" s="35" t="str">
        <f t="shared" si="47"/>
        <v/>
      </c>
      <c r="BL43" s="35" t="str">
        <f t="shared" si="48"/>
        <v/>
      </c>
      <c r="BM43" s="38"/>
      <c r="BN43" s="35" t="str">
        <f t="shared" si="49"/>
        <v/>
      </c>
      <c r="BO43" s="35" t="str">
        <f t="shared" si="50"/>
        <v/>
      </c>
      <c r="BP43" s="32" t="str">
        <f t="shared" si="51"/>
        <v/>
      </c>
      <c r="BQ43" s="35" t="str">
        <f t="shared" si="52"/>
        <v/>
      </c>
      <c r="BR43" s="37" t="str">
        <f t="shared" si="53"/>
        <v/>
      </c>
      <c r="BS43" s="1"/>
    </row>
    <row r="44" spans="2:71" ht="70.5" customHeight="1" x14ac:dyDescent="0.25">
      <c r="B44" s="63"/>
      <c r="C44" s="64" t="str">
        <f>IFERROR(VLOOKUP(B44,Table_PrewrittenCode[#All],2,0),"")</f>
        <v/>
      </c>
      <c r="D44" s="32" t="str">
        <f>IFERROR(VLOOKUP(B44,Table_PrewrittenCode[#All],3,0),"")</f>
        <v/>
      </c>
      <c r="E44" s="54"/>
      <c r="F44" s="58" t="str">
        <f t="shared" si="0"/>
        <v/>
      </c>
      <c r="G44" s="54"/>
      <c r="H44" s="59" t="str">
        <f t="shared" si="1"/>
        <v/>
      </c>
      <c r="I44" s="48" t="str">
        <f t="shared" si="2"/>
        <v/>
      </c>
      <c r="J44" s="54"/>
      <c r="K44" s="60" t="str">
        <f t="shared" si="3"/>
        <v/>
      </c>
      <c r="L44" s="32" t="str">
        <f t="shared" si="4"/>
        <v/>
      </c>
      <c r="M44" s="32" t="str">
        <f t="shared" si="5"/>
        <v/>
      </c>
      <c r="N44" s="55"/>
      <c r="O44" s="66" t="str">
        <f t="shared" si="6"/>
        <v/>
      </c>
      <c r="P44" s="65"/>
      <c r="Q44" s="60" t="str">
        <f t="shared" si="7"/>
        <v/>
      </c>
      <c r="R44" s="32" t="str">
        <f t="shared" si="8"/>
        <v/>
      </c>
      <c r="S44" s="34" t="str">
        <f t="shared" si="9"/>
        <v/>
      </c>
      <c r="T44" s="32" t="str">
        <f t="shared" si="10"/>
        <v/>
      </c>
      <c r="U44" s="32" t="str">
        <f t="shared" si="11"/>
        <v/>
      </c>
      <c r="V44" s="32" t="str">
        <f t="shared" si="12"/>
        <v/>
      </c>
      <c r="W44" s="32" t="str">
        <f t="shared" si="13"/>
        <v/>
      </c>
      <c r="X44" s="32" t="str">
        <f t="shared" si="14"/>
        <v/>
      </c>
      <c r="Y44" s="32" t="str">
        <f t="shared" si="15"/>
        <v/>
      </c>
      <c r="Z44" s="32" t="str">
        <f t="shared" si="16"/>
        <v/>
      </c>
      <c r="AA44" s="32" t="str">
        <f t="shared" si="17"/>
        <v/>
      </c>
      <c r="AB44" s="32" t="str">
        <f t="shared" si="18"/>
        <v/>
      </c>
      <c r="AC44" s="35" t="str">
        <f t="shared" si="19"/>
        <v/>
      </c>
      <c r="AD44" s="32" t="str">
        <f t="shared" si="20"/>
        <v/>
      </c>
      <c r="AE44" s="32" t="str">
        <f t="shared" si="21"/>
        <v/>
      </c>
      <c r="AF44" s="32" t="str">
        <f t="shared" si="22"/>
        <v/>
      </c>
      <c r="AG44" s="32" t="str">
        <f t="shared" si="23"/>
        <v/>
      </c>
      <c r="AH44" s="32" t="str">
        <f t="shared" si="24"/>
        <v/>
      </c>
      <c r="AI44" s="32" t="str">
        <f t="shared" si="25"/>
        <v/>
      </c>
      <c r="AJ44" s="32" t="str">
        <f t="shared" si="26"/>
        <v/>
      </c>
      <c r="AK44" s="61" t="str">
        <f t="shared" si="27"/>
        <v/>
      </c>
      <c r="AL44" s="54"/>
      <c r="AM44" s="60" t="str">
        <f t="shared" si="28"/>
        <v/>
      </c>
      <c r="AN44" s="38"/>
      <c r="AO44" s="32" t="str">
        <f t="shared" si="29"/>
        <v/>
      </c>
      <c r="AP44" s="32" t="str">
        <f t="shared" si="30"/>
        <v/>
      </c>
      <c r="AQ44" s="32" t="str">
        <f t="shared" si="31"/>
        <v/>
      </c>
      <c r="AR44" s="32" t="str">
        <f t="shared" si="32"/>
        <v/>
      </c>
      <c r="AS44" s="32" t="str">
        <f t="shared" si="33"/>
        <v/>
      </c>
      <c r="AT44" s="32" t="str">
        <f t="shared" si="34"/>
        <v/>
      </c>
      <c r="AU44" s="32" t="str">
        <f t="shared" si="35"/>
        <v/>
      </c>
      <c r="AV44" s="32" t="str">
        <f t="shared" si="36"/>
        <v/>
      </c>
      <c r="AW44" s="32" t="str">
        <f t="shared" si="37"/>
        <v/>
      </c>
      <c r="AX44" s="32" t="str">
        <f t="shared" si="38"/>
        <v/>
      </c>
      <c r="AY44" s="32" t="str">
        <f t="shared" si="39"/>
        <v/>
      </c>
      <c r="AZ44" s="32" t="str">
        <f t="shared" si="40"/>
        <v/>
      </c>
      <c r="BA44" s="32" t="str">
        <f t="shared" si="41"/>
        <v/>
      </c>
      <c r="BB44" s="70"/>
      <c r="BC44" s="71" t="str">
        <f t="shared" si="42"/>
        <v/>
      </c>
      <c r="BD44" s="55"/>
      <c r="BE44" s="62" t="str">
        <f t="shared" si="43"/>
        <v/>
      </c>
      <c r="BF44" s="35" t="str">
        <f t="shared" si="44"/>
        <v/>
      </c>
      <c r="BG44" s="38"/>
      <c r="BH44" s="35" t="str">
        <f t="shared" si="45"/>
        <v/>
      </c>
      <c r="BI44" s="35" t="str">
        <f t="shared" si="46"/>
        <v/>
      </c>
      <c r="BJ44" s="38"/>
      <c r="BK44" s="35" t="str">
        <f t="shared" si="47"/>
        <v/>
      </c>
      <c r="BL44" s="35" t="str">
        <f t="shared" si="48"/>
        <v/>
      </c>
      <c r="BM44" s="38"/>
      <c r="BN44" s="35" t="str">
        <f t="shared" si="49"/>
        <v/>
      </c>
      <c r="BO44" s="35" t="str">
        <f t="shared" si="50"/>
        <v/>
      </c>
      <c r="BP44" s="32" t="str">
        <f t="shared" si="51"/>
        <v/>
      </c>
      <c r="BQ44" s="35" t="str">
        <f t="shared" si="52"/>
        <v/>
      </c>
      <c r="BR44" s="37" t="str">
        <f t="shared" si="53"/>
        <v/>
      </c>
      <c r="BS44" s="1"/>
    </row>
    <row r="45" spans="2:71" ht="70.5" customHeight="1" x14ac:dyDescent="0.25">
      <c r="B45" s="63"/>
      <c r="C45" s="64" t="str">
        <f>IFERROR(VLOOKUP(B45,Table_PrewrittenCode[#All],2,0),"")</f>
        <v/>
      </c>
      <c r="D45" s="32" t="str">
        <f>IFERROR(VLOOKUP(B45,Table_PrewrittenCode[#All],3,0),"")</f>
        <v/>
      </c>
      <c r="E45" s="54"/>
      <c r="F45" s="58" t="str">
        <f t="shared" si="0"/>
        <v/>
      </c>
      <c r="G45" s="54"/>
      <c r="H45" s="59" t="str">
        <f t="shared" si="1"/>
        <v/>
      </c>
      <c r="I45" s="48" t="str">
        <f t="shared" si="2"/>
        <v/>
      </c>
      <c r="J45" s="54"/>
      <c r="K45" s="60" t="str">
        <f t="shared" si="3"/>
        <v/>
      </c>
      <c r="L45" s="32" t="str">
        <f t="shared" si="4"/>
        <v/>
      </c>
      <c r="M45" s="32" t="str">
        <f t="shared" si="5"/>
        <v/>
      </c>
      <c r="N45" s="55"/>
      <c r="O45" s="66" t="str">
        <f t="shared" si="6"/>
        <v/>
      </c>
      <c r="P45" s="65"/>
      <c r="Q45" s="60" t="str">
        <f t="shared" si="7"/>
        <v/>
      </c>
      <c r="R45" s="32" t="str">
        <f t="shared" si="8"/>
        <v/>
      </c>
      <c r="S45" s="34" t="str">
        <f t="shared" si="9"/>
        <v/>
      </c>
      <c r="T45" s="32" t="str">
        <f t="shared" si="10"/>
        <v/>
      </c>
      <c r="U45" s="32" t="str">
        <f t="shared" si="11"/>
        <v/>
      </c>
      <c r="V45" s="32" t="str">
        <f t="shared" si="12"/>
        <v/>
      </c>
      <c r="W45" s="32" t="str">
        <f t="shared" si="13"/>
        <v/>
      </c>
      <c r="X45" s="32" t="str">
        <f t="shared" si="14"/>
        <v/>
      </c>
      <c r="Y45" s="32" t="str">
        <f t="shared" si="15"/>
        <v/>
      </c>
      <c r="Z45" s="32" t="str">
        <f t="shared" si="16"/>
        <v/>
      </c>
      <c r="AA45" s="32" t="str">
        <f t="shared" si="17"/>
        <v/>
      </c>
      <c r="AB45" s="32" t="str">
        <f t="shared" si="18"/>
        <v/>
      </c>
      <c r="AC45" s="35" t="str">
        <f t="shared" si="19"/>
        <v/>
      </c>
      <c r="AD45" s="32" t="str">
        <f t="shared" si="20"/>
        <v/>
      </c>
      <c r="AE45" s="32" t="str">
        <f t="shared" si="21"/>
        <v/>
      </c>
      <c r="AF45" s="32" t="str">
        <f t="shared" si="22"/>
        <v/>
      </c>
      <c r="AG45" s="32" t="str">
        <f t="shared" si="23"/>
        <v/>
      </c>
      <c r="AH45" s="32" t="str">
        <f t="shared" si="24"/>
        <v/>
      </c>
      <c r="AI45" s="32" t="str">
        <f t="shared" si="25"/>
        <v/>
      </c>
      <c r="AJ45" s="32" t="str">
        <f t="shared" si="26"/>
        <v/>
      </c>
      <c r="AK45" s="61" t="str">
        <f t="shared" si="27"/>
        <v/>
      </c>
      <c r="AL45" s="54"/>
      <c r="AM45" s="60" t="str">
        <f t="shared" si="28"/>
        <v/>
      </c>
      <c r="AN45" s="38"/>
      <c r="AO45" s="32" t="str">
        <f t="shared" si="29"/>
        <v/>
      </c>
      <c r="AP45" s="32" t="str">
        <f t="shared" si="30"/>
        <v/>
      </c>
      <c r="AQ45" s="32" t="str">
        <f t="shared" si="31"/>
        <v/>
      </c>
      <c r="AR45" s="32" t="str">
        <f t="shared" si="32"/>
        <v/>
      </c>
      <c r="AS45" s="32" t="str">
        <f t="shared" si="33"/>
        <v/>
      </c>
      <c r="AT45" s="32" t="str">
        <f t="shared" si="34"/>
        <v/>
      </c>
      <c r="AU45" s="32" t="str">
        <f t="shared" si="35"/>
        <v/>
      </c>
      <c r="AV45" s="32" t="str">
        <f t="shared" si="36"/>
        <v/>
      </c>
      <c r="AW45" s="32" t="str">
        <f t="shared" si="37"/>
        <v/>
      </c>
      <c r="AX45" s="32" t="str">
        <f t="shared" si="38"/>
        <v/>
      </c>
      <c r="AY45" s="32" t="str">
        <f t="shared" si="39"/>
        <v/>
      </c>
      <c r="AZ45" s="32" t="str">
        <f t="shared" si="40"/>
        <v/>
      </c>
      <c r="BA45" s="32" t="str">
        <f t="shared" si="41"/>
        <v/>
      </c>
      <c r="BB45" s="70"/>
      <c r="BC45" s="71" t="str">
        <f t="shared" si="42"/>
        <v/>
      </c>
      <c r="BD45" s="55"/>
      <c r="BE45" s="62" t="str">
        <f t="shared" si="43"/>
        <v/>
      </c>
      <c r="BF45" s="35" t="str">
        <f t="shared" si="44"/>
        <v/>
      </c>
      <c r="BG45" s="38"/>
      <c r="BH45" s="35" t="str">
        <f t="shared" si="45"/>
        <v/>
      </c>
      <c r="BI45" s="35" t="str">
        <f t="shared" si="46"/>
        <v/>
      </c>
      <c r="BJ45" s="38"/>
      <c r="BK45" s="35" t="str">
        <f t="shared" si="47"/>
        <v/>
      </c>
      <c r="BL45" s="35" t="str">
        <f t="shared" si="48"/>
        <v/>
      </c>
      <c r="BM45" s="38"/>
      <c r="BN45" s="35" t="str">
        <f t="shared" si="49"/>
        <v/>
      </c>
      <c r="BO45" s="35" t="str">
        <f t="shared" si="50"/>
        <v/>
      </c>
      <c r="BP45" s="32" t="str">
        <f t="shared" si="51"/>
        <v/>
      </c>
      <c r="BQ45" s="35" t="str">
        <f t="shared" si="52"/>
        <v/>
      </c>
      <c r="BR45" s="37" t="str">
        <f t="shared" si="53"/>
        <v/>
      </c>
      <c r="BS45" s="1"/>
    </row>
    <row r="46" spans="2:71" ht="70.5" customHeight="1" x14ac:dyDescent="0.25">
      <c r="B46" s="63"/>
      <c r="C46" s="64" t="str">
        <f>IFERROR(VLOOKUP(B46,Table_PrewrittenCode[#All],2,0),"")</f>
        <v/>
      </c>
      <c r="D46" s="32" t="str">
        <f>IFERROR(VLOOKUP(B46,Table_PrewrittenCode[#All],3,0),"")</f>
        <v/>
      </c>
      <c r="E46" s="54"/>
      <c r="F46" s="58" t="str">
        <f t="shared" si="0"/>
        <v/>
      </c>
      <c r="G46" s="54"/>
      <c r="H46" s="59" t="str">
        <f t="shared" si="1"/>
        <v/>
      </c>
      <c r="I46" s="48" t="str">
        <f t="shared" si="2"/>
        <v/>
      </c>
      <c r="J46" s="54"/>
      <c r="K46" s="60" t="str">
        <f t="shared" si="3"/>
        <v/>
      </c>
      <c r="L46" s="32" t="str">
        <f t="shared" si="4"/>
        <v/>
      </c>
      <c r="M46" s="32" t="str">
        <f t="shared" si="5"/>
        <v/>
      </c>
      <c r="N46" s="55"/>
      <c r="O46" s="66" t="str">
        <f t="shared" si="6"/>
        <v/>
      </c>
      <c r="P46" s="65"/>
      <c r="Q46" s="60" t="str">
        <f t="shared" si="7"/>
        <v/>
      </c>
      <c r="R46" s="32" t="str">
        <f t="shared" si="8"/>
        <v/>
      </c>
      <c r="S46" s="34" t="str">
        <f t="shared" si="9"/>
        <v/>
      </c>
      <c r="T46" s="32" t="str">
        <f t="shared" si="10"/>
        <v/>
      </c>
      <c r="U46" s="32" t="str">
        <f t="shared" si="11"/>
        <v/>
      </c>
      <c r="V46" s="32" t="str">
        <f t="shared" si="12"/>
        <v/>
      </c>
      <c r="W46" s="32" t="str">
        <f t="shared" si="13"/>
        <v/>
      </c>
      <c r="X46" s="32" t="str">
        <f t="shared" si="14"/>
        <v/>
      </c>
      <c r="Y46" s="32" t="str">
        <f t="shared" si="15"/>
        <v/>
      </c>
      <c r="Z46" s="32" t="str">
        <f t="shared" si="16"/>
        <v/>
      </c>
      <c r="AA46" s="32" t="str">
        <f t="shared" si="17"/>
        <v/>
      </c>
      <c r="AB46" s="32" t="str">
        <f t="shared" si="18"/>
        <v/>
      </c>
      <c r="AC46" s="35" t="str">
        <f t="shared" si="19"/>
        <v/>
      </c>
      <c r="AD46" s="32" t="str">
        <f t="shared" si="20"/>
        <v/>
      </c>
      <c r="AE46" s="32" t="str">
        <f t="shared" si="21"/>
        <v/>
      </c>
      <c r="AF46" s="32" t="str">
        <f t="shared" si="22"/>
        <v/>
      </c>
      <c r="AG46" s="32" t="str">
        <f t="shared" si="23"/>
        <v/>
      </c>
      <c r="AH46" s="32" t="str">
        <f t="shared" si="24"/>
        <v/>
      </c>
      <c r="AI46" s="32" t="str">
        <f t="shared" si="25"/>
        <v/>
      </c>
      <c r="AJ46" s="32" t="str">
        <f t="shared" si="26"/>
        <v/>
      </c>
      <c r="AK46" s="61" t="str">
        <f t="shared" si="27"/>
        <v/>
      </c>
      <c r="AL46" s="54"/>
      <c r="AM46" s="60" t="str">
        <f t="shared" si="28"/>
        <v/>
      </c>
      <c r="AN46" s="38"/>
      <c r="AO46" s="32" t="str">
        <f t="shared" si="29"/>
        <v/>
      </c>
      <c r="AP46" s="32" t="str">
        <f t="shared" si="30"/>
        <v/>
      </c>
      <c r="AQ46" s="32" t="str">
        <f t="shared" si="31"/>
        <v/>
      </c>
      <c r="AR46" s="32" t="str">
        <f t="shared" si="32"/>
        <v/>
      </c>
      <c r="AS46" s="32" t="str">
        <f t="shared" si="33"/>
        <v/>
      </c>
      <c r="AT46" s="32" t="str">
        <f t="shared" si="34"/>
        <v/>
      </c>
      <c r="AU46" s="32" t="str">
        <f t="shared" si="35"/>
        <v/>
      </c>
      <c r="AV46" s="32" t="str">
        <f t="shared" si="36"/>
        <v/>
      </c>
      <c r="AW46" s="32" t="str">
        <f t="shared" si="37"/>
        <v/>
      </c>
      <c r="AX46" s="32" t="str">
        <f t="shared" si="38"/>
        <v/>
      </c>
      <c r="AY46" s="32" t="str">
        <f t="shared" si="39"/>
        <v/>
      </c>
      <c r="AZ46" s="32" t="str">
        <f t="shared" si="40"/>
        <v/>
      </c>
      <c r="BA46" s="32" t="str">
        <f t="shared" si="41"/>
        <v/>
      </c>
      <c r="BB46" s="70"/>
      <c r="BC46" s="71" t="str">
        <f t="shared" si="42"/>
        <v/>
      </c>
      <c r="BD46" s="55"/>
      <c r="BE46" s="62" t="str">
        <f t="shared" si="43"/>
        <v/>
      </c>
      <c r="BF46" s="35" t="str">
        <f t="shared" si="44"/>
        <v/>
      </c>
      <c r="BG46" s="38"/>
      <c r="BH46" s="35" t="str">
        <f t="shared" si="45"/>
        <v/>
      </c>
      <c r="BI46" s="35" t="str">
        <f t="shared" si="46"/>
        <v/>
      </c>
      <c r="BJ46" s="38"/>
      <c r="BK46" s="35" t="str">
        <f t="shared" si="47"/>
        <v/>
      </c>
      <c r="BL46" s="35" t="str">
        <f t="shared" si="48"/>
        <v/>
      </c>
      <c r="BM46" s="38"/>
      <c r="BN46" s="35" t="str">
        <f t="shared" si="49"/>
        <v/>
      </c>
      <c r="BO46" s="35" t="str">
        <f t="shared" si="50"/>
        <v/>
      </c>
      <c r="BP46" s="32" t="str">
        <f t="shared" si="51"/>
        <v/>
      </c>
      <c r="BQ46" s="35" t="str">
        <f t="shared" si="52"/>
        <v/>
      </c>
      <c r="BR46" s="37" t="str">
        <f t="shared" si="53"/>
        <v/>
      </c>
      <c r="BS46" s="1"/>
    </row>
    <row r="47" spans="2:71" ht="70.5" customHeight="1" x14ac:dyDescent="0.25">
      <c r="B47" s="63"/>
      <c r="C47" s="64" t="str">
        <f>IFERROR(VLOOKUP(B47,Table_PrewrittenCode[#All],2,0),"")</f>
        <v/>
      </c>
      <c r="D47" s="32" t="str">
        <f>IFERROR(VLOOKUP(B47,Table_PrewrittenCode[#All],3,0),"")</f>
        <v/>
      </c>
      <c r="E47" s="54"/>
      <c r="F47" s="58" t="str">
        <f t="shared" si="0"/>
        <v/>
      </c>
      <c r="G47" s="54"/>
      <c r="H47" s="59" t="str">
        <f t="shared" si="1"/>
        <v/>
      </c>
      <c r="I47" s="48" t="str">
        <f t="shared" si="2"/>
        <v/>
      </c>
      <c r="J47" s="54"/>
      <c r="K47" s="60" t="str">
        <f t="shared" si="3"/>
        <v/>
      </c>
      <c r="L47" s="32" t="str">
        <f t="shared" si="4"/>
        <v/>
      </c>
      <c r="M47" s="32" t="str">
        <f t="shared" si="5"/>
        <v/>
      </c>
      <c r="N47" s="55"/>
      <c r="O47" s="66" t="str">
        <f t="shared" si="6"/>
        <v/>
      </c>
      <c r="P47" s="65"/>
      <c r="Q47" s="60" t="str">
        <f t="shared" si="7"/>
        <v/>
      </c>
      <c r="R47" s="32" t="str">
        <f t="shared" si="8"/>
        <v/>
      </c>
      <c r="S47" s="34" t="str">
        <f t="shared" si="9"/>
        <v/>
      </c>
      <c r="T47" s="32" t="str">
        <f t="shared" si="10"/>
        <v/>
      </c>
      <c r="U47" s="32" t="str">
        <f t="shared" si="11"/>
        <v/>
      </c>
      <c r="V47" s="32" t="str">
        <f t="shared" si="12"/>
        <v/>
      </c>
      <c r="W47" s="32" t="str">
        <f t="shared" si="13"/>
        <v/>
      </c>
      <c r="X47" s="32" t="str">
        <f t="shared" si="14"/>
        <v/>
      </c>
      <c r="Y47" s="32" t="str">
        <f t="shared" si="15"/>
        <v/>
      </c>
      <c r="Z47" s="32" t="str">
        <f t="shared" si="16"/>
        <v/>
      </c>
      <c r="AA47" s="32" t="str">
        <f t="shared" si="17"/>
        <v/>
      </c>
      <c r="AB47" s="32" t="str">
        <f t="shared" si="18"/>
        <v/>
      </c>
      <c r="AC47" s="35" t="str">
        <f t="shared" si="19"/>
        <v/>
      </c>
      <c r="AD47" s="32" t="str">
        <f t="shared" si="20"/>
        <v/>
      </c>
      <c r="AE47" s="32" t="str">
        <f t="shared" si="21"/>
        <v/>
      </c>
      <c r="AF47" s="32" t="str">
        <f t="shared" si="22"/>
        <v/>
      </c>
      <c r="AG47" s="32" t="str">
        <f t="shared" si="23"/>
        <v/>
      </c>
      <c r="AH47" s="32" t="str">
        <f t="shared" si="24"/>
        <v/>
      </c>
      <c r="AI47" s="32" t="str">
        <f t="shared" si="25"/>
        <v/>
      </c>
      <c r="AJ47" s="32" t="str">
        <f t="shared" si="26"/>
        <v/>
      </c>
      <c r="AK47" s="61" t="str">
        <f t="shared" si="27"/>
        <v/>
      </c>
      <c r="AL47" s="54"/>
      <c r="AM47" s="60" t="str">
        <f t="shared" si="28"/>
        <v/>
      </c>
      <c r="AN47" s="38"/>
      <c r="AO47" s="32" t="str">
        <f t="shared" si="29"/>
        <v/>
      </c>
      <c r="AP47" s="32" t="str">
        <f t="shared" si="30"/>
        <v/>
      </c>
      <c r="AQ47" s="32" t="str">
        <f t="shared" si="31"/>
        <v/>
      </c>
      <c r="AR47" s="32" t="str">
        <f t="shared" si="32"/>
        <v/>
      </c>
      <c r="AS47" s="32" t="str">
        <f t="shared" si="33"/>
        <v/>
      </c>
      <c r="AT47" s="32" t="str">
        <f t="shared" si="34"/>
        <v/>
      </c>
      <c r="AU47" s="32" t="str">
        <f t="shared" si="35"/>
        <v/>
      </c>
      <c r="AV47" s="32" t="str">
        <f t="shared" si="36"/>
        <v/>
      </c>
      <c r="AW47" s="32" t="str">
        <f t="shared" si="37"/>
        <v/>
      </c>
      <c r="AX47" s="32" t="str">
        <f t="shared" si="38"/>
        <v/>
      </c>
      <c r="AY47" s="32" t="str">
        <f t="shared" si="39"/>
        <v/>
      </c>
      <c r="AZ47" s="32" t="str">
        <f t="shared" si="40"/>
        <v/>
      </c>
      <c r="BA47" s="32" t="str">
        <f t="shared" si="41"/>
        <v/>
      </c>
      <c r="BB47" s="70"/>
      <c r="BC47" s="71" t="str">
        <f t="shared" si="42"/>
        <v/>
      </c>
      <c r="BD47" s="55"/>
      <c r="BE47" s="62" t="str">
        <f t="shared" si="43"/>
        <v/>
      </c>
      <c r="BF47" s="35" t="str">
        <f t="shared" si="44"/>
        <v/>
      </c>
      <c r="BG47" s="38"/>
      <c r="BH47" s="35" t="str">
        <f t="shared" si="45"/>
        <v/>
      </c>
      <c r="BI47" s="35" t="str">
        <f t="shared" si="46"/>
        <v/>
      </c>
      <c r="BJ47" s="38"/>
      <c r="BK47" s="35" t="str">
        <f t="shared" si="47"/>
        <v/>
      </c>
      <c r="BL47" s="35" t="str">
        <f t="shared" si="48"/>
        <v/>
      </c>
      <c r="BM47" s="38"/>
      <c r="BN47" s="35" t="str">
        <f t="shared" si="49"/>
        <v/>
      </c>
      <c r="BO47" s="35" t="str">
        <f t="shared" si="50"/>
        <v/>
      </c>
      <c r="BP47" s="32" t="str">
        <f t="shared" si="51"/>
        <v/>
      </c>
      <c r="BQ47" s="35" t="str">
        <f t="shared" si="52"/>
        <v/>
      </c>
      <c r="BR47" s="37" t="str">
        <f t="shared" si="53"/>
        <v/>
      </c>
      <c r="BS47" s="1"/>
    </row>
    <row r="48" spans="2:71" ht="70.5" customHeight="1" x14ac:dyDescent="0.25">
      <c r="B48" s="63"/>
      <c r="C48" s="64" t="str">
        <f>IFERROR(VLOOKUP(B48,Table_PrewrittenCode[#All],2,0),"")</f>
        <v/>
      </c>
      <c r="D48" s="32" t="str">
        <f>IFERROR(VLOOKUP(B48,Table_PrewrittenCode[#All],3,0),"")</f>
        <v/>
      </c>
      <c r="E48" s="54"/>
      <c r="F48" s="58" t="str">
        <f t="shared" si="0"/>
        <v/>
      </c>
      <c r="G48" s="54"/>
      <c r="H48" s="59" t="str">
        <f t="shared" si="1"/>
        <v/>
      </c>
      <c r="I48" s="48" t="str">
        <f t="shared" si="2"/>
        <v/>
      </c>
      <c r="J48" s="54"/>
      <c r="K48" s="60" t="str">
        <f t="shared" si="3"/>
        <v/>
      </c>
      <c r="L48" s="32" t="str">
        <f t="shared" si="4"/>
        <v/>
      </c>
      <c r="M48" s="32" t="str">
        <f t="shared" si="5"/>
        <v/>
      </c>
      <c r="N48" s="55"/>
      <c r="O48" s="66" t="str">
        <f t="shared" si="6"/>
        <v/>
      </c>
      <c r="P48" s="65"/>
      <c r="Q48" s="60" t="str">
        <f t="shared" si="7"/>
        <v/>
      </c>
      <c r="R48" s="32" t="str">
        <f t="shared" si="8"/>
        <v/>
      </c>
      <c r="S48" s="34" t="str">
        <f t="shared" si="9"/>
        <v/>
      </c>
      <c r="T48" s="32" t="str">
        <f t="shared" si="10"/>
        <v/>
      </c>
      <c r="U48" s="32" t="str">
        <f t="shared" si="11"/>
        <v/>
      </c>
      <c r="V48" s="32" t="str">
        <f t="shared" si="12"/>
        <v/>
      </c>
      <c r="W48" s="32" t="str">
        <f t="shared" si="13"/>
        <v/>
      </c>
      <c r="X48" s="32" t="str">
        <f t="shared" si="14"/>
        <v/>
      </c>
      <c r="Y48" s="32" t="str">
        <f t="shared" si="15"/>
        <v/>
      </c>
      <c r="Z48" s="32" t="str">
        <f t="shared" si="16"/>
        <v/>
      </c>
      <c r="AA48" s="32" t="str">
        <f t="shared" si="17"/>
        <v/>
      </c>
      <c r="AB48" s="32" t="str">
        <f t="shared" si="18"/>
        <v/>
      </c>
      <c r="AC48" s="35" t="str">
        <f t="shared" si="19"/>
        <v/>
      </c>
      <c r="AD48" s="32" t="str">
        <f t="shared" si="20"/>
        <v/>
      </c>
      <c r="AE48" s="32" t="str">
        <f t="shared" si="21"/>
        <v/>
      </c>
      <c r="AF48" s="32" t="str">
        <f t="shared" si="22"/>
        <v/>
      </c>
      <c r="AG48" s="32" t="str">
        <f t="shared" si="23"/>
        <v/>
      </c>
      <c r="AH48" s="32" t="str">
        <f t="shared" si="24"/>
        <v/>
      </c>
      <c r="AI48" s="32" t="str">
        <f t="shared" si="25"/>
        <v/>
      </c>
      <c r="AJ48" s="32" t="str">
        <f t="shared" si="26"/>
        <v/>
      </c>
      <c r="AK48" s="61" t="str">
        <f t="shared" si="27"/>
        <v/>
      </c>
      <c r="AL48" s="54"/>
      <c r="AM48" s="60" t="str">
        <f t="shared" si="28"/>
        <v/>
      </c>
      <c r="AN48" s="38"/>
      <c r="AO48" s="32" t="str">
        <f t="shared" si="29"/>
        <v/>
      </c>
      <c r="AP48" s="32" t="str">
        <f t="shared" si="30"/>
        <v/>
      </c>
      <c r="AQ48" s="32" t="str">
        <f t="shared" si="31"/>
        <v/>
      </c>
      <c r="AR48" s="32" t="str">
        <f t="shared" si="32"/>
        <v/>
      </c>
      <c r="AS48" s="32" t="str">
        <f t="shared" si="33"/>
        <v/>
      </c>
      <c r="AT48" s="32" t="str">
        <f t="shared" si="34"/>
        <v/>
      </c>
      <c r="AU48" s="32" t="str">
        <f t="shared" si="35"/>
        <v/>
      </c>
      <c r="AV48" s="32" t="str">
        <f t="shared" si="36"/>
        <v/>
      </c>
      <c r="AW48" s="32" t="str">
        <f t="shared" si="37"/>
        <v/>
      </c>
      <c r="AX48" s="32" t="str">
        <f t="shared" si="38"/>
        <v/>
      </c>
      <c r="AY48" s="32" t="str">
        <f t="shared" si="39"/>
        <v/>
      </c>
      <c r="AZ48" s="32" t="str">
        <f t="shared" si="40"/>
        <v/>
      </c>
      <c r="BA48" s="32" t="str">
        <f t="shared" si="41"/>
        <v/>
      </c>
      <c r="BB48" s="70"/>
      <c r="BC48" s="71" t="str">
        <f t="shared" si="42"/>
        <v/>
      </c>
      <c r="BD48" s="55"/>
      <c r="BE48" s="62" t="str">
        <f t="shared" si="43"/>
        <v/>
      </c>
      <c r="BF48" s="35" t="str">
        <f t="shared" si="44"/>
        <v/>
      </c>
      <c r="BG48" s="38"/>
      <c r="BH48" s="35" t="str">
        <f t="shared" si="45"/>
        <v/>
      </c>
      <c r="BI48" s="35" t="str">
        <f t="shared" si="46"/>
        <v/>
      </c>
      <c r="BJ48" s="38"/>
      <c r="BK48" s="35" t="str">
        <f t="shared" si="47"/>
        <v/>
      </c>
      <c r="BL48" s="35" t="str">
        <f t="shared" si="48"/>
        <v/>
      </c>
      <c r="BM48" s="38"/>
      <c r="BN48" s="35" t="str">
        <f t="shared" si="49"/>
        <v/>
      </c>
      <c r="BO48" s="35" t="str">
        <f t="shared" si="50"/>
        <v/>
      </c>
      <c r="BP48" s="32" t="str">
        <f t="shared" si="51"/>
        <v/>
      </c>
      <c r="BQ48" s="35" t="str">
        <f t="shared" si="52"/>
        <v/>
      </c>
      <c r="BR48" s="37" t="str">
        <f t="shared" si="53"/>
        <v/>
      </c>
      <c r="BS48" s="1"/>
    </row>
    <row r="49" spans="2:71" ht="70.5" customHeight="1" x14ac:dyDescent="0.25">
      <c r="B49" s="63"/>
      <c r="C49" s="64" t="str">
        <f>IFERROR(VLOOKUP(B49,Table_PrewrittenCode[#All],2,0),"")</f>
        <v/>
      </c>
      <c r="D49" s="32" t="str">
        <f>IFERROR(VLOOKUP(B49,Table_PrewrittenCode[#All],3,0),"")</f>
        <v/>
      </c>
      <c r="E49" s="54"/>
      <c r="F49" s="58" t="str">
        <f t="shared" si="0"/>
        <v/>
      </c>
      <c r="G49" s="54"/>
      <c r="H49" s="59" t="str">
        <f t="shared" si="1"/>
        <v/>
      </c>
      <c r="I49" s="48" t="str">
        <f t="shared" si="2"/>
        <v/>
      </c>
      <c r="J49" s="54"/>
      <c r="K49" s="60" t="str">
        <f t="shared" si="3"/>
        <v/>
      </c>
      <c r="L49" s="32" t="str">
        <f t="shared" si="4"/>
        <v/>
      </c>
      <c r="M49" s="32" t="str">
        <f t="shared" si="5"/>
        <v/>
      </c>
      <c r="N49" s="55"/>
      <c r="O49" s="66" t="str">
        <f t="shared" si="6"/>
        <v/>
      </c>
      <c r="P49" s="65"/>
      <c r="Q49" s="60" t="str">
        <f t="shared" si="7"/>
        <v/>
      </c>
      <c r="R49" s="32" t="str">
        <f t="shared" si="8"/>
        <v/>
      </c>
      <c r="S49" s="34" t="str">
        <f t="shared" si="9"/>
        <v/>
      </c>
      <c r="T49" s="32" t="str">
        <f t="shared" si="10"/>
        <v/>
      </c>
      <c r="U49" s="32" t="str">
        <f t="shared" si="11"/>
        <v/>
      </c>
      <c r="V49" s="32" t="str">
        <f t="shared" si="12"/>
        <v/>
      </c>
      <c r="W49" s="32" t="str">
        <f t="shared" si="13"/>
        <v/>
      </c>
      <c r="X49" s="32" t="str">
        <f t="shared" si="14"/>
        <v/>
      </c>
      <c r="Y49" s="32" t="str">
        <f t="shared" si="15"/>
        <v/>
      </c>
      <c r="Z49" s="32" t="str">
        <f t="shared" si="16"/>
        <v/>
      </c>
      <c r="AA49" s="32" t="str">
        <f t="shared" si="17"/>
        <v/>
      </c>
      <c r="AB49" s="32" t="str">
        <f t="shared" si="18"/>
        <v/>
      </c>
      <c r="AC49" s="35" t="str">
        <f t="shared" si="19"/>
        <v/>
      </c>
      <c r="AD49" s="32" t="str">
        <f t="shared" si="20"/>
        <v/>
      </c>
      <c r="AE49" s="32" t="str">
        <f t="shared" si="21"/>
        <v/>
      </c>
      <c r="AF49" s="32" t="str">
        <f t="shared" si="22"/>
        <v/>
      </c>
      <c r="AG49" s="32" t="str">
        <f t="shared" si="23"/>
        <v/>
      </c>
      <c r="AH49" s="32" t="str">
        <f t="shared" si="24"/>
        <v/>
      </c>
      <c r="AI49" s="32" t="str">
        <f t="shared" si="25"/>
        <v/>
      </c>
      <c r="AJ49" s="32" t="str">
        <f t="shared" si="26"/>
        <v/>
      </c>
      <c r="AK49" s="61" t="str">
        <f t="shared" si="27"/>
        <v/>
      </c>
      <c r="AL49" s="54"/>
      <c r="AM49" s="60" t="str">
        <f t="shared" si="28"/>
        <v/>
      </c>
      <c r="AN49" s="38"/>
      <c r="AO49" s="32" t="str">
        <f t="shared" si="29"/>
        <v/>
      </c>
      <c r="AP49" s="32" t="str">
        <f t="shared" si="30"/>
        <v/>
      </c>
      <c r="AQ49" s="32" t="str">
        <f t="shared" si="31"/>
        <v/>
      </c>
      <c r="AR49" s="32" t="str">
        <f t="shared" si="32"/>
        <v/>
      </c>
      <c r="AS49" s="32" t="str">
        <f t="shared" si="33"/>
        <v/>
      </c>
      <c r="AT49" s="32" t="str">
        <f t="shared" si="34"/>
        <v/>
      </c>
      <c r="AU49" s="32" t="str">
        <f t="shared" si="35"/>
        <v/>
      </c>
      <c r="AV49" s="32" t="str">
        <f t="shared" si="36"/>
        <v/>
      </c>
      <c r="AW49" s="32" t="str">
        <f t="shared" si="37"/>
        <v/>
      </c>
      <c r="AX49" s="32" t="str">
        <f t="shared" si="38"/>
        <v/>
      </c>
      <c r="AY49" s="32" t="str">
        <f t="shared" si="39"/>
        <v/>
      </c>
      <c r="AZ49" s="32" t="str">
        <f t="shared" si="40"/>
        <v/>
      </c>
      <c r="BA49" s="32" t="str">
        <f t="shared" si="41"/>
        <v/>
      </c>
      <c r="BB49" s="70"/>
      <c r="BC49" s="71" t="str">
        <f t="shared" si="42"/>
        <v/>
      </c>
      <c r="BD49" s="55"/>
      <c r="BE49" s="62" t="str">
        <f t="shared" si="43"/>
        <v/>
      </c>
      <c r="BF49" s="35" t="str">
        <f t="shared" si="44"/>
        <v/>
      </c>
      <c r="BG49" s="38"/>
      <c r="BH49" s="35" t="str">
        <f t="shared" si="45"/>
        <v/>
      </c>
      <c r="BI49" s="35" t="str">
        <f t="shared" si="46"/>
        <v/>
      </c>
      <c r="BJ49" s="38"/>
      <c r="BK49" s="35" t="str">
        <f t="shared" si="47"/>
        <v/>
      </c>
      <c r="BL49" s="35" t="str">
        <f t="shared" si="48"/>
        <v/>
      </c>
      <c r="BM49" s="38"/>
      <c r="BN49" s="35" t="str">
        <f t="shared" si="49"/>
        <v/>
      </c>
      <c r="BO49" s="35" t="str">
        <f t="shared" si="50"/>
        <v/>
      </c>
      <c r="BP49" s="32" t="str">
        <f t="shared" si="51"/>
        <v/>
      </c>
      <c r="BQ49" s="35" t="str">
        <f t="shared" si="52"/>
        <v/>
      </c>
      <c r="BR49" s="37" t="str">
        <f t="shared" si="53"/>
        <v/>
      </c>
      <c r="BS49" s="1"/>
    </row>
    <row r="50" spans="2:71" ht="70.5" customHeight="1" x14ac:dyDescent="0.25">
      <c r="B50" s="63"/>
      <c r="C50" s="64" t="str">
        <f>IFERROR(VLOOKUP(B50,Table_PrewrittenCode[#All],2,0),"")</f>
        <v/>
      </c>
      <c r="D50" s="32" t="str">
        <f>IFERROR(VLOOKUP(B50,Table_PrewrittenCode[#All],3,0),"")</f>
        <v/>
      </c>
      <c r="E50" s="54"/>
      <c r="F50" s="58" t="str">
        <f t="shared" si="0"/>
        <v/>
      </c>
      <c r="G50" s="54"/>
      <c r="H50" s="59" t="str">
        <f t="shared" si="1"/>
        <v/>
      </c>
      <c r="I50" s="48" t="str">
        <f t="shared" si="2"/>
        <v/>
      </c>
      <c r="J50" s="54"/>
      <c r="K50" s="60" t="str">
        <f t="shared" si="3"/>
        <v/>
      </c>
      <c r="L50" s="32" t="str">
        <f t="shared" si="4"/>
        <v/>
      </c>
      <c r="M50" s="32" t="str">
        <f t="shared" si="5"/>
        <v/>
      </c>
      <c r="N50" s="55"/>
      <c r="O50" s="66" t="str">
        <f t="shared" si="6"/>
        <v/>
      </c>
      <c r="P50" s="65"/>
      <c r="Q50" s="60" t="str">
        <f t="shared" si="7"/>
        <v/>
      </c>
      <c r="R50" s="32" t="str">
        <f t="shared" si="8"/>
        <v/>
      </c>
      <c r="S50" s="34" t="str">
        <f t="shared" si="9"/>
        <v/>
      </c>
      <c r="T50" s="32" t="str">
        <f t="shared" si="10"/>
        <v/>
      </c>
      <c r="U50" s="32" t="str">
        <f t="shared" si="11"/>
        <v/>
      </c>
      <c r="V50" s="32" t="str">
        <f t="shared" si="12"/>
        <v/>
      </c>
      <c r="W50" s="32" t="str">
        <f t="shared" si="13"/>
        <v/>
      </c>
      <c r="X50" s="32" t="str">
        <f t="shared" si="14"/>
        <v/>
      </c>
      <c r="Y50" s="32" t="str">
        <f t="shared" si="15"/>
        <v/>
      </c>
      <c r="Z50" s="32" t="str">
        <f t="shared" si="16"/>
        <v/>
      </c>
      <c r="AA50" s="32" t="str">
        <f t="shared" si="17"/>
        <v/>
      </c>
      <c r="AB50" s="32" t="str">
        <f t="shared" si="18"/>
        <v/>
      </c>
      <c r="AC50" s="35" t="str">
        <f t="shared" si="19"/>
        <v/>
      </c>
      <c r="AD50" s="32" t="str">
        <f t="shared" si="20"/>
        <v/>
      </c>
      <c r="AE50" s="32" t="str">
        <f t="shared" si="21"/>
        <v/>
      </c>
      <c r="AF50" s="32" t="str">
        <f t="shared" si="22"/>
        <v/>
      </c>
      <c r="AG50" s="32" t="str">
        <f t="shared" si="23"/>
        <v/>
      </c>
      <c r="AH50" s="32" t="str">
        <f t="shared" si="24"/>
        <v/>
      </c>
      <c r="AI50" s="32" t="str">
        <f t="shared" si="25"/>
        <v/>
      </c>
      <c r="AJ50" s="32" t="str">
        <f t="shared" si="26"/>
        <v/>
      </c>
      <c r="AK50" s="61" t="str">
        <f t="shared" si="27"/>
        <v/>
      </c>
      <c r="AL50" s="54"/>
      <c r="AM50" s="60" t="str">
        <f t="shared" si="28"/>
        <v/>
      </c>
      <c r="AN50" s="38"/>
      <c r="AO50" s="32" t="str">
        <f t="shared" si="29"/>
        <v/>
      </c>
      <c r="AP50" s="32" t="str">
        <f t="shared" si="30"/>
        <v/>
      </c>
      <c r="AQ50" s="32" t="str">
        <f t="shared" si="31"/>
        <v/>
      </c>
      <c r="AR50" s="32" t="str">
        <f t="shared" si="32"/>
        <v/>
      </c>
      <c r="AS50" s="32" t="str">
        <f t="shared" si="33"/>
        <v/>
      </c>
      <c r="AT50" s="32" t="str">
        <f t="shared" si="34"/>
        <v/>
      </c>
      <c r="AU50" s="32" t="str">
        <f t="shared" si="35"/>
        <v/>
      </c>
      <c r="AV50" s="32" t="str">
        <f t="shared" si="36"/>
        <v/>
      </c>
      <c r="AW50" s="32" t="str">
        <f t="shared" si="37"/>
        <v/>
      </c>
      <c r="AX50" s="32" t="str">
        <f t="shared" si="38"/>
        <v/>
      </c>
      <c r="AY50" s="32" t="str">
        <f t="shared" si="39"/>
        <v/>
      </c>
      <c r="AZ50" s="32" t="str">
        <f t="shared" si="40"/>
        <v/>
      </c>
      <c r="BA50" s="32" t="str">
        <f t="shared" si="41"/>
        <v/>
      </c>
      <c r="BB50" s="70"/>
      <c r="BC50" s="71" t="str">
        <f t="shared" si="42"/>
        <v/>
      </c>
      <c r="BD50" s="55"/>
      <c r="BE50" s="62" t="str">
        <f t="shared" si="43"/>
        <v/>
      </c>
      <c r="BF50" s="35" t="str">
        <f t="shared" si="44"/>
        <v/>
      </c>
      <c r="BG50" s="38"/>
      <c r="BH50" s="35" t="str">
        <f t="shared" si="45"/>
        <v/>
      </c>
      <c r="BI50" s="35" t="str">
        <f t="shared" si="46"/>
        <v/>
      </c>
      <c r="BJ50" s="38"/>
      <c r="BK50" s="35" t="str">
        <f t="shared" si="47"/>
        <v/>
      </c>
      <c r="BL50" s="35" t="str">
        <f t="shared" si="48"/>
        <v/>
      </c>
      <c r="BM50" s="38"/>
      <c r="BN50" s="35" t="str">
        <f t="shared" si="49"/>
        <v/>
      </c>
      <c r="BO50" s="35" t="str">
        <f t="shared" si="50"/>
        <v/>
      </c>
      <c r="BP50" s="32" t="str">
        <f t="shared" si="51"/>
        <v/>
      </c>
      <c r="BQ50" s="35" t="str">
        <f t="shared" si="52"/>
        <v/>
      </c>
      <c r="BR50" s="37" t="str">
        <f t="shared" si="53"/>
        <v/>
      </c>
      <c r="BS50" s="1"/>
    </row>
    <row r="51" spans="2:71" ht="70.5" customHeight="1" x14ac:dyDescent="0.25">
      <c r="B51" s="63"/>
      <c r="C51" s="64" t="str">
        <f>IFERROR(VLOOKUP(B51,Table_PrewrittenCode[#All],2,0),"")</f>
        <v/>
      </c>
      <c r="D51" s="32" t="str">
        <f>IFERROR(VLOOKUP(B51,Table_PrewrittenCode[#All],3,0),"")</f>
        <v/>
      </c>
      <c r="E51" s="54"/>
      <c r="F51" s="58" t="str">
        <f t="shared" si="0"/>
        <v/>
      </c>
      <c r="G51" s="54"/>
      <c r="H51" s="59" t="str">
        <f t="shared" si="1"/>
        <v/>
      </c>
      <c r="I51" s="48" t="str">
        <f t="shared" si="2"/>
        <v/>
      </c>
      <c r="J51" s="54"/>
      <c r="K51" s="60" t="str">
        <f t="shared" si="3"/>
        <v/>
      </c>
      <c r="L51" s="32" t="str">
        <f t="shared" si="4"/>
        <v/>
      </c>
      <c r="M51" s="32" t="str">
        <f t="shared" si="5"/>
        <v/>
      </c>
      <c r="N51" s="55"/>
      <c r="O51" s="66" t="str">
        <f t="shared" si="6"/>
        <v/>
      </c>
      <c r="P51" s="65"/>
      <c r="Q51" s="60" t="str">
        <f t="shared" si="7"/>
        <v/>
      </c>
      <c r="R51" s="32" t="str">
        <f t="shared" si="8"/>
        <v/>
      </c>
      <c r="S51" s="34" t="str">
        <f t="shared" si="9"/>
        <v/>
      </c>
      <c r="T51" s="32" t="str">
        <f t="shared" si="10"/>
        <v/>
      </c>
      <c r="U51" s="32" t="str">
        <f t="shared" si="11"/>
        <v/>
      </c>
      <c r="V51" s="32" t="str">
        <f t="shared" si="12"/>
        <v/>
      </c>
      <c r="W51" s="32" t="str">
        <f t="shared" si="13"/>
        <v/>
      </c>
      <c r="X51" s="32" t="str">
        <f t="shared" si="14"/>
        <v/>
      </c>
      <c r="Y51" s="32" t="str">
        <f t="shared" si="15"/>
        <v/>
      </c>
      <c r="Z51" s="32" t="str">
        <f t="shared" si="16"/>
        <v/>
      </c>
      <c r="AA51" s="32" t="str">
        <f t="shared" si="17"/>
        <v/>
      </c>
      <c r="AB51" s="32" t="str">
        <f t="shared" si="18"/>
        <v/>
      </c>
      <c r="AC51" s="35" t="str">
        <f t="shared" si="19"/>
        <v/>
      </c>
      <c r="AD51" s="32" t="str">
        <f t="shared" si="20"/>
        <v/>
      </c>
      <c r="AE51" s="32" t="str">
        <f t="shared" si="21"/>
        <v/>
      </c>
      <c r="AF51" s="32" t="str">
        <f t="shared" si="22"/>
        <v/>
      </c>
      <c r="AG51" s="32" t="str">
        <f t="shared" si="23"/>
        <v/>
      </c>
      <c r="AH51" s="32" t="str">
        <f t="shared" si="24"/>
        <v/>
      </c>
      <c r="AI51" s="32" t="str">
        <f t="shared" si="25"/>
        <v/>
      </c>
      <c r="AJ51" s="32" t="str">
        <f t="shared" si="26"/>
        <v/>
      </c>
      <c r="AK51" s="61" t="str">
        <f t="shared" si="27"/>
        <v/>
      </c>
      <c r="AL51" s="54"/>
      <c r="AM51" s="60" t="str">
        <f t="shared" si="28"/>
        <v/>
      </c>
      <c r="AN51" s="38"/>
      <c r="AO51" s="32" t="str">
        <f t="shared" si="29"/>
        <v/>
      </c>
      <c r="AP51" s="32" t="str">
        <f t="shared" si="30"/>
        <v/>
      </c>
      <c r="AQ51" s="32" t="str">
        <f t="shared" si="31"/>
        <v/>
      </c>
      <c r="AR51" s="32" t="str">
        <f t="shared" si="32"/>
        <v/>
      </c>
      <c r="AS51" s="32" t="str">
        <f t="shared" si="33"/>
        <v/>
      </c>
      <c r="AT51" s="32" t="str">
        <f t="shared" si="34"/>
        <v/>
      </c>
      <c r="AU51" s="32" t="str">
        <f t="shared" si="35"/>
        <v/>
      </c>
      <c r="AV51" s="32" t="str">
        <f t="shared" si="36"/>
        <v/>
      </c>
      <c r="AW51" s="32" t="str">
        <f t="shared" si="37"/>
        <v/>
      </c>
      <c r="AX51" s="32" t="str">
        <f t="shared" si="38"/>
        <v/>
      </c>
      <c r="AY51" s="32" t="str">
        <f t="shared" si="39"/>
        <v/>
      </c>
      <c r="AZ51" s="32" t="str">
        <f t="shared" si="40"/>
        <v/>
      </c>
      <c r="BA51" s="32" t="str">
        <f t="shared" si="41"/>
        <v/>
      </c>
      <c r="BB51" s="70"/>
      <c r="BC51" s="71" t="str">
        <f t="shared" si="42"/>
        <v/>
      </c>
      <c r="BD51" s="55"/>
      <c r="BE51" s="62" t="str">
        <f t="shared" si="43"/>
        <v/>
      </c>
      <c r="BF51" s="35" t="str">
        <f t="shared" si="44"/>
        <v/>
      </c>
      <c r="BG51" s="38"/>
      <c r="BH51" s="35" t="str">
        <f t="shared" si="45"/>
        <v/>
      </c>
      <c r="BI51" s="35" t="str">
        <f t="shared" si="46"/>
        <v/>
      </c>
      <c r="BJ51" s="38"/>
      <c r="BK51" s="35" t="str">
        <f t="shared" si="47"/>
        <v/>
      </c>
      <c r="BL51" s="35" t="str">
        <f t="shared" si="48"/>
        <v/>
      </c>
      <c r="BM51" s="38"/>
      <c r="BN51" s="35" t="str">
        <f t="shared" si="49"/>
        <v/>
      </c>
      <c r="BO51" s="35" t="str">
        <f t="shared" si="50"/>
        <v/>
      </c>
      <c r="BP51" s="32" t="str">
        <f t="shared" si="51"/>
        <v/>
      </c>
      <c r="BQ51" s="35" t="str">
        <f t="shared" si="52"/>
        <v/>
      </c>
      <c r="BR51" s="37" t="str">
        <f t="shared" si="53"/>
        <v/>
      </c>
      <c r="BS51" s="1"/>
    </row>
    <row r="52" spans="2:71" ht="70.5" customHeight="1" x14ac:dyDescent="0.25">
      <c r="B52" s="63"/>
      <c r="C52" s="64" t="str">
        <f>IFERROR(VLOOKUP(B52,Table_PrewrittenCode[#All],2,0),"")</f>
        <v/>
      </c>
      <c r="D52" s="32" t="str">
        <f>IFERROR(VLOOKUP(B52,Table_PrewrittenCode[#All],3,0),"")</f>
        <v/>
      </c>
      <c r="E52" s="54"/>
      <c r="F52" s="58" t="str">
        <f t="shared" si="0"/>
        <v/>
      </c>
      <c r="G52" s="54"/>
      <c r="H52" s="59" t="str">
        <f t="shared" si="1"/>
        <v/>
      </c>
      <c r="I52" s="48" t="str">
        <f t="shared" si="2"/>
        <v/>
      </c>
      <c r="J52" s="54"/>
      <c r="K52" s="60" t="str">
        <f t="shared" si="3"/>
        <v/>
      </c>
      <c r="L52" s="32" t="str">
        <f t="shared" si="4"/>
        <v/>
      </c>
      <c r="M52" s="32" t="str">
        <f t="shared" si="5"/>
        <v/>
      </c>
      <c r="N52" s="55"/>
      <c r="O52" s="66" t="str">
        <f t="shared" si="6"/>
        <v/>
      </c>
      <c r="P52" s="65"/>
      <c r="Q52" s="60" t="str">
        <f t="shared" si="7"/>
        <v/>
      </c>
      <c r="R52" s="32" t="str">
        <f t="shared" si="8"/>
        <v/>
      </c>
      <c r="S52" s="34" t="str">
        <f t="shared" si="9"/>
        <v/>
      </c>
      <c r="T52" s="32" t="str">
        <f t="shared" si="10"/>
        <v/>
      </c>
      <c r="U52" s="32" t="str">
        <f t="shared" si="11"/>
        <v/>
      </c>
      <c r="V52" s="32" t="str">
        <f t="shared" si="12"/>
        <v/>
      </c>
      <c r="W52" s="32" t="str">
        <f t="shared" si="13"/>
        <v/>
      </c>
      <c r="X52" s="32" t="str">
        <f t="shared" si="14"/>
        <v/>
      </c>
      <c r="Y52" s="32" t="str">
        <f t="shared" si="15"/>
        <v/>
      </c>
      <c r="Z52" s="32" t="str">
        <f t="shared" si="16"/>
        <v/>
      </c>
      <c r="AA52" s="32" t="str">
        <f t="shared" si="17"/>
        <v/>
      </c>
      <c r="AB52" s="32" t="str">
        <f t="shared" si="18"/>
        <v/>
      </c>
      <c r="AC52" s="35" t="str">
        <f t="shared" si="19"/>
        <v/>
      </c>
      <c r="AD52" s="32" t="str">
        <f t="shared" si="20"/>
        <v/>
      </c>
      <c r="AE52" s="32" t="str">
        <f t="shared" si="21"/>
        <v/>
      </c>
      <c r="AF52" s="32" t="str">
        <f t="shared" si="22"/>
        <v/>
      </c>
      <c r="AG52" s="32" t="str">
        <f t="shared" si="23"/>
        <v/>
      </c>
      <c r="AH52" s="32" t="str">
        <f t="shared" si="24"/>
        <v/>
      </c>
      <c r="AI52" s="32" t="str">
        <f t="shared" si="25"/>
        <v/>
      </c>
      <c r="AJ52" s="32" t="str">
        <f t="shared" si="26"/>
        <v/>
      </c>
      <c r="AK52" s="61" t="str">
        <f t="shared" si="27"/>
        <v/>
      </c>
      <c r="AL52" s="54"/>
      <c r="AM52" s="60" t="str">
        <f t="shared" si="28"/>
        <v/>
      </c>
      <c r="AN52" s="38"/>
      <c r="AO52" s="32" t="str">
        <f t="shared" si="29"/>
        <v/>
      </c>
      <c r="AP52" s="32" t="str">
        <f t="shared" si="30"/>
        <v/>
      </c>
      <c r="AQ52" s="32" t="str">
        <f t="shared" si="31"/>
        <v/>
      </c>
      <c r="AR52" s="32" t="str">
        <f t="shared" si="32"/>
        <v/>
      </c>
      <c r="AS52" s="32" t="str">
        <f t="shared" si="33"/>
        <v/>
      </c>
      <c r="AT52" s="32" t="str">
        <f t="shared" si="34"/>
        <v/>
      </c>
      <c r="AU52" s="32" t="str">
        <f t="shared" si="35"/>
        <v/>
      </c>
      <c r="AV52" s="32" t="str">
        <f t="shared" si="36"/>
        <v/>
      </c>
      <c r="AW52" s="32" t="str">
        <f t="shared" si="37"/>
        <v/>
      </c>
      <c r="AX52" s="32" t="str">
        <f t="shared" si="38"/>
        <v/>
      </c>
      <c r="AY52" s="32" t="str">
        <f t="shared" si="39"/>
        <v/>
      </c>
      <c r="AZ52" s="32" t="str">
        <f t="shared" si="40"/>
        <v/>
      </c>
      <c r="BA52" s="32" t="str">
        <f t="shared" si="41"/>
        <v/>
      </c>
      <c r="BB52" s="70"/>
      <c r="BC52" s="71" t="str">
        <f t="shared" si="42"/>
        <v/>
      </c>
      <c r="BD52" s="55"/>
      <c r="BE52" s="62" t="str">
        <f t="shared" si="43"/>
        <v/>
      </c>
      <c r="BF52" s="35" t="str">
        <f t="shared" si="44"/>
        <v/>
      </c>
      <c r="BG52" s="38"/>
      <c r="BH52" s="35" t="str">
        <f t="shared" si="45"/>
        <v/>
      </c>
      <c r="BI52" s="35" t="str">
        <f t="shared" si="46"/>
        <v/>
      </c>
      <c r="BJ52" s="38"/>
      <c r="BK52" s="35" t="str">
        <f t="shared" si="47"/>
        <v/>
      </c>
      <c r="BL52" s="35" t="str">
        <f t="shared" si="48"/>
        <v/>
      </c>
      <c r="BM52" s="38"/>
      <c r="BN52" s="35" t="str">
        <f t="shared" si="49"/>
        <v/>
      </c>
      <c r="BO52" s="35" t="str">
        <f t="shared" si="50"/>
        <v/>
      </c>
      <c r="BP52" s="32" t="str">
        <f t="shared" si="51"/>
        <v/>
      </c>
      <c r="BQ52" s="35" t="str">
        <f t="shared" si="52"/>
        <v/>
      </c>
      <c r="BR52" s="37" t="str">
        <f t="shared" si="53"/>
        <v/>
      </c>
      <c r="BS52" s="1"/>
    </row>
    <row r="53" spans="2:71" ht="70.5" customHeight="1" x14ac:dyDescent="0.25">
      <c r="B53" s="63"/>
      <c r="C53" s="64" t="str">
        <f>IFERROR(VLOOKUP(B53,Table_PrewrittenCode[#All],2,0),"")</f>
        <v/>
      </c>
      <c r="D53" s="32" t="str">
        <f>IFERROR(VLOOKUP(B53,Table_PrewrittenCode[#All],3,0),"")</f>
        <v/>
      </c>
      <c r="E53" s="54"/>
      <c r="F53" s="58" t="str">
        <f t="shared" si="0"/>
        <v/>
      </c>
      <c r="G53" s="54"/>
      <c r="H53" s="59" t="str">
        <f t="shared" si="1"/>
        <v/>
      </c>
      <c r="I53" s="48" t="str">
        <f t="shared" si="2"/>
        <v/>
      </c>
      <c r="J53" s="54"/>
      <c r="K53" s="60" t="str">
        <f t="shared" si="3"/>
        <v/>
      </c>
      <c r="L53" s="32" t="str">
        <f t="shared" si="4"/>
        <v/>
      </c>
      <c r="M53" s="32" t="str">
        <f t="shared" si="5"/>
        <v/>
      </c>
      <c r="N53" s="55"/>
      <c r="O53" s="66" t="str">
        <f t="shared" si="6"/>
        <v/>
      </c>
      <c r="P53" s="65"/>
      <c r="Q53" s="60" t="str">
        <f t="shared" si="7"/>
        <v/>
      </c>
      <c r="R53" s="32" t="str">
        <f t="shared" si="8"/>
        <v/>
      </c>
      <c r="S53" s="34" t="str">
        <f t="shared" si="9"/>
        <v/>
      </c>
      <c r="T53" s="32" t="str">
        <f t="shared" si="10"/>
        <v/>
      </c>
      <c r="U53" s="32" t="str">
        <f t="shared" si="11"/>
        <v/>
      </c>
      <c r="V53" s="32" t="str">
        <f t="shared" si="12"/>
        <v/>
      </c>
      <c r="W53" s="32" t="str">
        <f t="shared" si="13"/>
        <v/>
      </c>
      <c r="X53" s="32" t="str">
        <f t="shared" si="14"/>
        <v/>
      </c>
      <c r="Y53" s="32" t="str">
        <f t="shared" si="15"/>
        <v/>
      </c>
      <c r="Z53" s="32" t="str">
        <f t="shared" si="16"/>
        <v/>
      </c>
      <c r="AA53" s="32" t="str">
        <f t="shared" si="17"/>
        <v/>
      </c>
      <c r="AB53" s="32" t="str">
        <f t="shared" si="18"/>
        <v/>
      </c>
      <c r="AC53" s="35" t="str">
        <f t="shared" si="19"/>
        <v/>
      </c>
      <c r="AD53" s="32" t="str">
        <f t="shared" si="20"/>
        <v/>
      </c>
      <c r="AE53" s="32" t="str">
        <f t="shared" si="21"/>
        <v/>
      </c>
      <c r="AF53" s="32" t="str">
        <f t="shared" si="22"/>
        <v/>
      </c>
      <c r="AG53" s="32" t="str">
        <f t="shared" si="23"/>
        <v/>
      </c>
      <c r="AH53" s="32" t="str">
        <f t="shared" si="24"/>
        <v/>
      </c>
      <c r="AI53" s="32" t="str">
        <f t="shared" si="25"/>
        <v/>
      </c>
      <c r="AJ53" s="32" t="str">
        <f t="shared" si="26"/>
        <v/>
      </c>
      <c r="AK53" s="61" t="str">
        <f t="shared" si="27"/>
        <v/>
      </c>
      <c r="AL53" s="54"/>
      <c r="AM53" s="60" t="str">
        <f t="shared" si="28"/>
        <v/>
      </c>
      <c r="AN53" s="38"/>
      <c r="AO53" s="32" t="str">
        <f t="shared" si="29"/>
        <v/>
      </c>
      <c r="AP53" s="32" t="str">
        <f t="shared" si="30"/>
        <v/>
      </c>
      <c r="AQ53" s="32" t="str">
        <f t="shared" si="31"/>
        <v/>
      </c>
      <c r="AR53" s="32" t="str">
        <f t="shared" si="32"/>
        <v/>
      </c>
      <c r="AS53" s="32" t="str">
        <f t="shared" si="33"/>
        <v/>
      </c>
      <c r="AT53" s="32" t="str">
        <f t="shared" si="34"/>
        <v/>
      </c>
      <c r="AU53" s="32" t="str">
        <f t="shared" si="35"/>
        <v/>
      </c>
      <c r="AV53" s="32" t="str">
        <f t="shared" si="36"/>
        <v/>
      </c>
      <c r="AW53" s="32" t="str">
        <f t="shared" si="37"/>
        <v/>
      </c>
      <c r="AX53" s="32" t="str">
        <f t="shared" si="38"/>
        <v/>
      </c>
      <c r="AY53" s="32" t="str">
        <f t="shared" si="39"/>
        <v/>
      </c>
      <c r="AZ53" s="32" t="str">
        <f t="shared" si="40"/>
        <v/>
      </c>
      <c r="BA53" s="32" t="str">
        <f t="shared" si="41"/>
        <v/>
      </c>
      <c r="BB53" s="70"/>
      <c r="BC53" s="71" t="str">
        <f t="shared" si="42"/>
        <v/>
      </c>
      <c r="BD53" s="55"/>
      <c r="BE53" s="62" t="str">
        <f t="shared" si="43"/>
        <v/>
      </c>
      <c r="BF53" s="35" t="str">
        <f t="shared" si="44"/>
        <v/>
      </c>
      <c r="BG53" s="38"/>
      <c r="BH53" s="35" t="str">
        <f t="shared" si="45"/>
        <v/>
      </c>
      <c r="BI53" s="35" t="str">
        <f t="shared" si="46"/>
        <v/>
      </c>
      <c r="BJ53" s="38"/>
      <c r="BK53" s="35" t="str">
        <f t="shared" si="47"/>
        <v/>
      </c>
      <c r="BL53" s="35" t="str">
        <f t="shared" si="48"/>
        <v/>
      </c>
      <c r="BM53" s="38"/>
      <c r="BN53" s="35" t="str">
        <f t="shared" si="49"/>
        <v/>
      </c>
      <c r="BO53" s="35" t="str">
        <f t="shared" si="50"/>
        <v/>
      </c>
      <c r="BP53" s="32" t="str">
        <f t="shared" si="51"/>
        <v/>
      </c>
      <c r="BQ53" s="35" t="str">
        <f t="shared" si="52"/>
        <v/>
      </c>
      <c r="BR53" s="37" t="str">
        <f t="shared" si="53"/>
        <v/>
      </c>
      <c r="BS53" s="1"/>
    </row>
    <row r="54" spans="2:71" ht="70.5" customHeight="1" x14ac:dyDescent="0.25">
      <c r="B54" s="63"/>
      <c r="C54" s="64" t="str">
        <f>IFERROR(VLOOKUP(B54,Table_PrewrittenCode[#All],2,0),"")</f>
        <v/>
      </c>
      <c r="D54" s="32" t="str">
        <f>IFERROR(VLOOKUP(B54,Table_PrewrittenCode[#All],3,0),"")</f>
        <v/>
      </c>
      <c r="E54" s="54"/>
      <c r="F54" s="58" t="str">
        <f t="shared" si="0"/>
        <v/>
      </c>
      <c r="G54" s="54"/>
      <c r="H54" s="59" t="str">
        <f t="shared" si="1"/>
        <v/>
      </c>
      <c r="I54" s="48" t="str">
        <f t="shared" si="2"/>
        <v/>
      </c>
      <c r="J54" s="54"/>
      <c r="K54" s="60" t="str">
        <f t="shared" si="3"/>
        <v/>
      </c>
      <c r="L54" s="32" t="str">
        <f t="shared" si="4"/>
        <v/>
      </c>
      <c r="M54" s="32" t="str">
        <f t="shared" si="5"/>
        <v/>
      </c>
      <c r="N54" s="55"/>
      <c r="O54" s="66" t="str">
        <f t="shared" si="6"/>
        <v/>
      </c>
      <c r="P54" s="65"/>
      <c r="Q54" s="60" t="str">
        <f t="shared" si="7"/>
        <v/>
      </c>
      <c r="R54" s="32" t="str">
        <f t="shared" si="8"/>
        <v/>
      </c>
      <c r="S54" s="34" t="str">
        <f t="shared" si="9"/>
        <v/>
      </c>
      <c r="T54" s="32" t="str">
        <f t="shared" si="10"/>
        <v/>
      </c>
      <c r="U54" s="32" t="str">
        <f t="shared" si="11"/>
        <v/>
      </c>
      <c r="V54" s="32" t="str">
        <f t="shared" si="12"/>
        <v/>
      </c>
      <c r="W54" s="32" t="str">
        <f t="shared" si="13"/>
        <v/>
      </c>
      <c r="X54" s="32" t="str">
        <f t="shared" si="14"/>
        <v/>
      </c>
      <c r="Y54" s="32" t="str">
        <f t="shared" si="15"/>
        <v/>
      </c>
      <c r="Z54" s="32" t="str">
        <f t="shared" si="16"/>
        <v/>
      </c>
      <c r="AA54" s="32" t="str">
        <f t="shared" si="17"/>
        <v/>
      </c>
      <c r="AB54" s="32" t="str">
        <f t="shared" si="18"/>
        <v/>
      </c>
      <c r="AC54" s="35" t="str">
        <f t="shared" si="19"/>
        <v/>
      </c>
      <c r="AD54" s="32" t="str">
        <f t="shared" si="20"/>
        <v/>
      </c>
      <c r="AE54" s="32" t="str">
        <f t="shared" si="21"/>
        <v/>
      </c>
      <c r="AF54" s="32" t="str">
        <f t="shared" si="22"/>
        <v/>
      </c>
      <c r="AG54" s="32" t="str">
        <f t="shared" si="23"/>
        <v/>
      </c>
      <c r="AH54" s="32" t="str">
        <f t="shared" si="24"/>
        <v/>
      </c>
      <c r="AI54" s="32" t="str">
        <f t="shared" si="25"/>
        <v/>
      </c>
      <c r="AJ54" s="32" t="str">
        <f t="shared" si="26"/>
        <v/>
      </c>
      <c r="AK54" s="61" t="str">
        <f t="shared" si="27"/>
        <v/>
      </c>
      <c r="AL54" s="54"/>
      <c r="AM54" s="60" t="str">
        <f t="shared" si="28"/>
        <v/>
      </c>
      <c r="AN54" s="38"/>
      <c r="AO54" s="32" t="str">
        <f t="shared" si="29"/>
        <v/>
      </c>
      <c r="AP54" s="32" t="str">
        <f t="shared" si="30"/>
        <v/>
      </c>
      <c r="AQ54" s="32" t="str">
        <f t="shared" si="31"/>
        <v/>
      </c>
      <c r="AR54" s="32" t="str">
        <f t="shared" si="32"/>
        <v/>
      </c>
      <c r="AS54" s="32" t="str">
        <f t="shared" si="33"/>
        <v/>
      </c>
      <c r="AT54" s="32" t="str">
        <f t="shared" si="34"/>
        <v/>
      </c>
      <c r="AU54" s="32" t="str">
        <f t="shared" si="35"/>
        <v/>
      </c>
      <c r="AV54" s="32" t="str">
        <f t="shared" si="36"/>
        <v/>
      </c>
      <c r="AW54" s="32" t="str">
        <f t="shared" si="37"/>
        <v/>
      </c>
      <c r="AX54" s="32" t="str">
        <f t="shared" si="38"/>
        <v/>
      </c>
      <c r="AY54" s="32" t="str">
        <f t="shared" si="39"/>
        <v/>
      </c>
      <c r="AZ54" s="32" t="str">
        <f t="shared" si="40"/>
        <v/>
      </c>
      <c r="BA54" s="32" t="str">
        <f t="shared" si="41"/>
        <v/>
      </c>
      <c r="BB54" s="70"/>
      <c r="BC54" s="71" t="str">
        <f t="shared" si="42"/>
        <v/>
      </c>
      <c r="BD54" s="55"/>
      <c r="BE54" s="62" t="str">
        <f t="shared" si="43"/>
        <v/>
      </c>
      <c r="BF54" s="35" t="str">
        <f t="shared" si="44"/>
        <v/>
      </c>
      <c r="BG54" s="38"/>
      <c r="BH54" s="35" t="str">
        <f t="shared" si="45"/>
        <v/>
      </c>
      <c r="BI54" s="35" t="str">
        <f t="shared" si="46"/>
        <v/>
      </c>
      <c r="BJ54" s="38"/>
      <c r="BK54" s="35" t="str">
        <f t="shared" si="47"/>
        <v/>
      </c>
      <c r="BL54" s="35" t="str">
        <f t="shared" si="48"/>
        <v/>
      </c>
      <c r="BM54" s="38"/>
      <c r="BN54" s="35" t="str">
        <f t="shared" si="49"/>
        <v/>
      </c>
      <c r="BO54" s="35" t="str">
        <f t="shared" si="50"/>
        <v/>
      </c>
      <c r="BP54" s="32" t="str">
        <f t="shared" si="51"/>
        <v/>
      </c>
      <c r="BQ54" s="35" t="str">
        <f t="shared" si="52"/>
        <v/>
      </c>
      <c r="BR54" s="37" t="str">
        <f t="shared" si="53"/>
        <v/>
      </c>
      <c r="BS54" s="1"/>
    </row>
    <row r="55" spans="2:71" ht="70.5" customHeight="1" x14ac:dyDescent="0.25">
      <c r="B55" s="63"/>
      <c r="C55" s="64" t="str">
        <f>IFERROR(VLOOKUP(B55,Table_PrewrittenCode[#All],2,0),"")</f>
        <v/>
      </c>
      <c r="D55" s="32" t="str">
        <f>IFERROR(VLOOKUP(B55,Table_PrewrittenCode[#All],3,0),"")</f>
        <v/>
      </c>
      <c r="E55" s="54"/>
      <c r="F55" s="58" t="str">
        <f t="shared" si="0"/>
        <v/>
      </c>
      <c r="G55" s="54"/>
      <c r="H55" s="59" t="str">
        <f t="shared" si="1"/>
        <v/>
      </c>
      <c r="I55" s="48" t="str">
        <f t="shared" si="2"/>
        <v/>
      </c>
      <c r="J55" s="54"/>
      <c r="K55" s="60" t="str">
        <f t="shared" si="3"/>
        <v/>
      </c>
      <c r="L55" s="32" t="str">
        <f t="shared" si="4"/>
        <v/>
      </c>
      <c r="M55" s="32" t="str">
        <f t="shared" si="5"/>
        <v/>
      </c>
      <c r="N55" s="55"/>
      <c r="O55" s="66" t="str">
        <f t="shared" si="6"/>
        <v/>
      </c>
      <c r="P55" s="65"/>
      <c r="Q55" s="60" t="str">
        <f t="shared" si="7"/>
        <v/>
      </c>
      <c r="R55" s="32" t="str">
        <f t="shared" si="8"/>
        <v/>
      </c>
      <c r="S55" s="34" t="str">
        <f t="shared" si="9"/>
        <v/>
      </c>
      <c r="T55" s="32" t="str">
        <f t="shared" si="10"/>
        <v/>
      </c>
      <c r="U55" s="32" t="str">
        <f t="shared" si="11"/>
        <v/>
      </c>
      <c r="V55" s="32" t="str">
        <f t="shared" si="12"/>
        <v/>
      </c>
      <c r="W55" s="32" t="str">
        <f t="shared" si="13"/>
        <v/>
      </c>
      <c r="X55" s="32" t="str">
        <f t="shared" si="14"/>
        <v/>
      </c>
      <c r="Y55" s="32" t="str">
        <f t="shared" si="15"/>
        <v/>
      </c>
      <c r="Z55" s="32" t="str">
        <f t="shared" si="16"/>
        <v/>
      </c>
      <c r="AA55" s="32" t="str">
        <f t="shared" si="17"/>
        <v/>
      </c>
      <c r="AB55" s="32" t="str">
        <f t="shared" si="18"/>
        <v/>
      </c>
      <c r="AC55" s="35" t="str">
        <f t="shared" si="19"/>
        <v/>
      </c>
      <c r="AD55" s="32" t="str">
        <f t="shared" si="20"/>
        <v/>
      </c>
      <c r="AE55" s="32" t="str">
        <f t="shared" si="21"/>
        <v/>
      </c>
      <c r="AF55" s="32" t="str">
        <f t="shared" si="22"/>
        <v/>
      </c>
      <c r="AG55" s="32" t="str">
        <f t="shared" si="23"/>
        <v/>
      </c>
      <c r="AH55" s="32" t="str">
        <f t="shared" si="24"/>
        <v/>
      </c>
      <c r="AI55" s="32" t="str">
        <f t="shared" si="25"/>
        <v/>
      </c>
      <c r="AJ55" s="32" t="str">
        <f t="shared" si="26"/>
        <v/>
      </c>
      <c r="AK55" s="61" t="str">
        <f t="shared" si="27"/>
        <v/>
      </c>
      <c r="AL55" s="54"/>
      <c r="AM55" s="60" t="str">
        <f t="shared" si="28"/>
        <v/>
      </c>
      <c r="AN55" s="38"/>
      <c r="AO55" s="32" t="str">
        <f t="shared" si="29"/>
        <v/>
      </c>
      <c r="AP55" s="32" t="str">
        <f t="shared" si="30"/>
        <v/>
      </c>
      <c r="AQ55" s="32" t="str">
        <f t="shared" si="31"/>
        <v/>
      </c>
      <c r="AR55" s="32" t="str">
        <f t="shared" si="32"/>
        <v/>
      </c>
      <c r="AS55" s="32" t="str">
        <f t="shared" si="33"/>
        <v/>
      </c>
      <c r="AT55" s="32" t="str">
        <f t="shared" si="34"/>
        <v/>
      </c>
      <c r="AU55" s="32" t="str">
        <f t="shared" si="35"/>
        <v/>
      </c>
      <c r="AV55" s="32" t="str">
        <f t="shared" si="36"/>
        <v/>
      </c>
      <c r="AW55" s="32" t="str">
        <f t="shared" si="37"/>
        <v/>
      </c>
      <c r="AX55" s="32" t="str">
        <f t="shared" si="38"/>
        <v/>
      </c>
      <c r="AY55" s="32" t="str">
        <f t="shared" si="39"/>
        <v/>
      </c>
      <c r="AZ55" s="32" t="str">
        <f t="shared" si="40"/>
        <v/>
      </c>
      <c r="BA55" s="32" t="str">
        <f t="shared" si="41"/>
        <v/>
      </c>
      <c r="BB55" s="70"/>
      <c r="BC55" s="71" t="str">
        <f t="shared" si="42"/>
        <v/>
      </c>
      <c r="BD55" s="55"/>
      <c r="BE55" s="62" t="str">
        <f t="shared" si="43"/>
        <v/>
      </c>
      <c r="BF55" s="35" t="str">
        <f t="shared" si="44"/>
        <v/>
      </c>
      <c r="BG55" s="38"/>
      <c r="BH55" s="35" t="str">
        <f t="shared" si="45"/>
        <v/>
      </c>
      <c r="BI55" s="35" t="str">
        <f t="shared" si="46"/>
        <v/>
      </c>
      <c r="BJ55" s="38"/>
      <c r="BK55" s="35" t="str">
        <f t="shared" si="47"/>
        <v/>
      </c>
      <c r="BL55" s="35" t="str">
        <f t="shared" si="48"/>
        <v/>
      </c>
      <c r="BM55" s="38"/>
      <c r="BN55" s="35" t="str">
        <f t="shared" si="49"/>
        <v/>
      </c>
      <c r="BO55" s="35" t="str">
        <f t="shared" si="50"/>
        <v/>
      </c>
      <c r="BP55" s="32" t="str">
        <f t="shared" si="51"/>
        <v/>
      </c>
      <c r="BQ55" s="35" t="str">
        <f t="shared" si="52"/>
        <v/>
      </c>
      <c r="BR55" s="37" t="str">
        <f t="shared" si="53"/>
        <v/>
      </c>
      <c r="BS55" s="1"/>
    </row>
    <row r="56" spans="2:71" ht="70.5" customHeight="1" x14ac:dyDescent="0.25">
      <c r="B56" s="63"/>
      <c r="C56" s="64" t="str">
        <f>IFERROR(VLOOKUP(B56,Table_PrewrittenCode[#All],2,0),"")</f>
        <v/>
      </c>
      <c r="D56" s="32" t="str">
        <f>IFERROR(VLOOKUP(B56,Table_PrewrittenCode[#All],3,0),"")</f>
        <v/>
      </c>
      <c r="E56" s="54"/>
      <c r="F56" s="58" t="str">
        <f t="shared" si="0"/>
        <v/>
      </c>
      <c r="G56" s="54"/>
      <c r="H56" s="59" t="str">
        <f t="shared" si="1"/>
        <v/>
      </c>
      <c r="I56" s="48" t="str">
        <f t="shared" si="2"/>
        <v/>
      </c>
      <c r="J56" s="54"/>
      <c r="K56" s="60" t="str">
        <f t="shared" si="3"/>
        <v/>
      </c>
      <c r="L56" s="32" t="str">
        <f t="shared" si="4"/>
        <v/>
      </c>
      <c r="M56" s="32" t="str">
        <f t="shared" si="5"/>
        <v/>
      </c>
      <c r="N56" s="55"/>
      <c r="O56" s="66" t="str">
        <f t="shared" si="6"/>
        <v/>
      </c>
      <c r="P56" s="65"/>
      <c r="Q56" s="60" t="str">
        <f t="shared" si="7"/>
        <v/>
      </c>
      <c r="R56" s="32" t="str">
        <f t="shared" si="8"/>
        <v/>
      </c>
      <c r="S56" s="34" t="str">
        <f t="shared" si="9"/>
        <v/>
      </c>
      <c r="T56" s="32" t="str">
        <f t="shared" si="10"/>
        <v/>
      </c>
      <c r="U56" s="32" t="str">
        <f t="shared" si="11"/>
        <v/>
      </c>
      <c r="V56" s="32" t="str">
        <f t="shared" si="12"/>
        <v/>
      </c>
      <c r="W56" s="32" t="str">
        <f t="shared" si="13"/>
        <v/>
      </c>
      <c r="X56" s="32" t="str">
        <f t="shared" si="14"/>
        <v/>
      </c>
      <c r="Y56" s="32" t="str">
        <f t="shared" si="15"/>
        <v/>
      </c>
      <c r="Z56" s="32" t="str">
        <f t="shared" si="16"/>
        <v/>
      </c>
      <c r="AA56" s="32" t="str">
        <f t="shared" si="17"/>
        <v/>
      </c>
      <c r="AB56" s="32" t="str">
        <f t="shared" si="18"/>
        <v/>
      </c>
      <c r="AC56" s="35" t="str">
        <f t="shared" si="19"/>
        <v/>
      </c>
      <c r="AD56" s="32" t="str">
        <f t="shared" si="20"/>
        <v/>
      </c>
      <c r="AE56" s="32" t="str">
        <f t="shared" si="21"/>
        <v/>
      </c>
      <c r="AF56" s="32" t="str">
        <f t="shared" si="22"/>
        <v/>
      </c>
      <c r="AG56" s="32" t="str">
        <f t="shared" si="23"/>
        <v/>
      </c>
      <c r="AH56" s="32" t="str">
        <f t="shared" si="24"/>
        <v/>
      </c>
      <c r="AI56" s="32" t="str">
        <f t="shared" si="25"/>
        <v/>
      </c>
      <c r="AJ56" s="32" t="str">
        <f t="shared" si="26"/>
        <v/>
      </c>
      <c r="AK56" s="61" t="str">
        <f t="shared" si="27"/>
        <v/>
      </c>
      <c r="AL56" s="54"/>
      <c r="AM56" s="60" t="str">
        <f t="shared" si="28"/>
        <v/>
      </c>
      <c r="AN56" s="38"/>
      <c r="AO56" s="32" t="str">
        <f t="shared" si="29"/>
        <v/>
      </c>
      <c r="AP56" s="32" t="str">
        <f t="shared" si="30"/>
        <v/>
      </c>
      <c r="AQ56" s="32" t="str">
        <f t="shared" si="31"/>
        <v/>
      </c>
      <c r="AR56" s="32" t="str">
        <f t="shared" si="32"/>
        <v/>
      </c>
      <c r="AS56" s="32" t="str">
        <f t="shared" si="33"/>
        <v/>
      </c>
      <c r="AT56" s="32" t="str">
        <f t="shared" si="34"/>
        <v/>
      </c>
      <c r="AU56" s="32" t="str">
        <f t="shared" si="35"/>
        <v/>
      </c>
      <c r="AV56" s="32" t="str">
        <f t="shared" si="36"/>
        <v/>
      </c>
      <c r="AW56" s="32" t="str">
        <f t="shared" si="37"/>
        <v/>
      </c>
      <c r="AX56" s="32" t="str">
        <f t="shared" si="38"/>
        <v/>
      </c>
      <c r="AY56" s="32" t="str">
        <f t="shared" si="39"/>
        <v/>
      </c>
      <c r="AZ56" s="32" t="str">
        <f t="shared" si="40"/>
        <v/>
      </c>
      <c r="BA56" s="32" t="str">
        <f t="shared" si="41"/>
        <v/>
      </c>
      <c r="BB56" s="70"/>
      <c r="BC56" s="71" t="str">
        <f t="shared" si="42"/>
        <v/>
      </c>
      <c r="BD56" s="55"/>
      <c r="BE56" s="62" t="str">
        <f t="shared" si="43"/>
        <v/>
      </c>
      <c r="BF56" s="35" t="str">
        <f t="shared" si="44"/>
        <v/>
      </c>
      <c r="BG56" s="38"/>
      <c r="BH56" s="35" t="str">
        <f t="shared" si="45"/>
        <v/>
      </c>
      <c r="BI56" s="35" t="str">
        <f t="shared" si="46"/>
        <v/>
      </c>
      <c r="BJ56" s="38"/>
      <c r="BK56" s="35" t="str">
        <f t="shared" si="47"/>
        <v/>
      </c>
      <c r="BL56" s="35" t="str">
        <f t="shared" si="48"/>
        <v/>
      </c>
      <c r="BM56" s="38"/>
      <c r="BN56" s="35" t="str">
        <f t="shared" si="49"/>
        <v/>
      </c>
      <c r="BO56" s="35" t="str">
        <f t="shared" si="50"/>
        <v/>
      </c>
      <c r="BP56" s="32" t="str">
        <f t="shared" si="51"/>
        <v/>
      </c>
      <c r="BQ56" s="35" t="str">
        <f t="shared" si="52"/>
        <v/>
      </c>
      <c r="BR56" s="37" t="str">
        <f t="shared" si="53"/>
        <v/>
      </c>
      <c r="BS56" s="1"/>
    </row>
    <row r="57" spans="2:71" ht="70.5" customHeight="1" x14ac:dyDescent="0.25">
      <c r="B57" s="63"/>
      <c r="C57" s="64" t="str">
        <f>IFERROR(VLOOKUP(B57,Table_PrewrittenCode[#All],2,0),"")</f>
        <v/>
      </c>
      <c r="D57" s="32" t="str">
        <f>IFERROR(VLOOKUP(B57,Table_PrewrittenCode[#All],3,0),"")</f>
        <v/>
      </c>
      <c r="E57" s="54"/>
      <c r="F57" s="58" t="str">
        <f t="shared" si="0"/>
        <v/>
      </c>
      <c r="G57" s="54"/>
      <c r="H57" s="59" t="str">
        <f t="shared" si="1"/>
        <v/>
      </c>
      <c r="I57" s="48" t="str">
        <f t="shared" si="2"/>
        <v/>
      </c>
      <c r="J57" s="54"/>
      <c r="K57" s="60" t="str">
        <f t="shared" si="3"/>
        <v/>
      </c>
      <c r="L57" s="32" t="str">
        <f t="shared" si="4"/>
        <v/>
      </c>
      <c r="M57" s="32" t="str">
        <f t="shared" si="5"/>
        <v/>
      </c>
      <c r="N57" s="55"/>
      <c r="O57" s="66" t="str">
        <f t="shared" si="6"/>
        <v/>
      </c>
      <c r="P57" s="65"/>
      <c r="Q57" s="60" t="str">
        <f t="shared" si="7"/>
        <v/>
      </c>
      <c r="R57" s="32" t="str">
        <f t="shared" si="8"/>
        <v/>
      </c>
      <c r="S57" s="34" t="str">
        <f t="shared" si="9"/>
        <v/>
      </c>
      <c r="T57" s="32" t="str">
        <f t="shared" si="10"/>
        <v/>
      </c>
      <c r="U57" s="32" t="str">
        <f t="shared" si="11"/>
        <v/>
      </c>
      <c r="V57" s="32" t="str">
        <f t="shared" si="12"/>
        <v/>
      </c>
      <c r="W57" s="32" t="str">
        <f t="shared" si="13"/>
        <v/>
      </c>
      <c r="X57" s="32" t="str">
        <f t="shared" si="14"/>
        <v/>
      </c>
      <c r="Y57" s="32" t="str">
        <f t="shared" si="15"/>
        <v/>
      </c>
      <c r="Z57" s="32" t="str">
        <f t="shared" si="16"/>
        <v/>
      </c>
      <c r="AA57" s="32" t="str">
        <f t="shared" si="17"/>
        <v/>
      </c>
      <c r="AB57" s="32" t="str">
        <f t="shared" si="18"/>
        <v/>
      </c>
      <c r="AC57" s="35" t="str">
        <f t="shared" si="19"/>
        <v/>
      </c>
      <c r="AD57" s="32" t="str">
        <f t="shared" si="20"/>
        <v/>
      </c>
      <c r="AE57" s="32" t="str">
        <f t="shared" si="21"/>
        <v/>
      </c>
      <c r="AF57" s="32" t="str">
        <f t="shared" si="22"/>
        <v/>
      </c>
      <c r="AG57" s="32" t="str">
        <f t="shared" si="23"/>
        <v/>
      </c>
      <c r="AH57" s="32" t="str">
        <f t="shared" si="24"/>
        <v/>
      </c>
      <c r="AI57" s="32" t="str">
        <f t="shared" si="25"/>
        <v/>
      </c>
      <c r="AJ57" s="32" t="str">
        <f t="shared" si="26"/>
        <v/>
      </c>
      <c r="AK57" s="61" t="str">
        <f t="shared" si="27"/>
        <v/>
      </c>
      <c r="AL57" s="54"/>
      <c r="AM57" s="60" t="str">
        <f t="shared" si="28"/>
        <v/>
      </c>
      <c r="AN57" s="38"/>
      <c r="AO57" s="32" t="str">
        <f t="shared" si="29"/>
        <v/>
      </c>
      <c r="AP57" s="32" t="str">
        <f t="shared" si="30"/>
        <v/>
      </c>
      <c r="AQ57" s="32" t="str">
        <f t="shared" si="31"/>
        <v/>
      </c>
      <c r="AR57" s="32" t="str">
        <f t="shared" si="32"/>
        <v/>
      </c>
      <c r="AS57" s="32" t="str">
        <f t="shared" si="33"/>
        <v/>
      </c>
      <c r="AT57" s="32" t="str">
        <f t="shared" si="34"/>
        <v/>
      </c>
      <c r="AU57" s="32" t="str">
        <f t="shared" si="35"/>
        <v/>
      </c>
      <c r="AV57" s="32" t="str">
        <f t="shared" si="36"/>
        <v/>
      </c>
      <c r="AW57" s="32" t="str">
        <f t="shared" si="37"/>
        <v/>
      </c>
      <c r="AX57" s="32" t="str">
        <f t="shared" si="38"/>
        <v/>
      </c>
      <c r="AY57" s="32" t="str">
        <f t="shared" si="39"/>
        <v/>
      </c>
      <c r="AZ57" s="32" t="str">
        <f t="shared" si="40"/>
        <v/>
      </c>
      <c r="BA57" s="32" t="str">
        <f t="shared" si="41"/>
        <v/>
      </c>
      <c r="BB57" s="70"/>
      <c r="BC57" s="71" t="str">
        <f t="shared" si="42"/>
        <v/>
      </c>
      <c r="BD57" s="55"/>
      <c r="BE57" s="62" t="str">
        <f t="shared" si="43"/>
        <v/>
      </c>
      <c r="BF57" s="35" t="str">
        <f t="shared" si="44"/>
        <v/>
      </c>
      <c r="BG57" s="38"/>
      <c r="BH57" s="35" t="str">
        <f t="shared" si="45"/>
        <v/>
      </c>
      <c r="BI57" s="35" t="str">
        <f t="shared" si="46"/>
        <v/>
      </c>
      <c r="BJ57" s="38"/>
      <c r="BK57" s="35" t="str">
        <f t="shared" si="47"/>
        <v/>
      </c>
      <c r="BL57" s="35" t="str">
        <f t="shared" si="48"/>
        <v/>
      </c>
      <c r="BM57" s="38"/>
      <c r="BN57" s="35" t="str">
        <f t="shared" si="49"/>
        <v/>
      </c>
      <c r="BO57" s="35" t="str">
        <f t="shared" si="50"/>
        <v/>
      </c>
      <c r="BP57" s="32" t="str">
        <f t="shared" si="51"/>
        <v/>
      </c>
      <c r="BQ57" s="35" t="str">
        <f t="shared" si="52"/>
        <v/>
      </c>
      <c r="BR57" s="37" t="str">
        <f t="shared" si="53"/>
        <v/>
      </c>
      <c r="BS57" s="1"/>
    </row>
    <row r="58" spans="2:71" ht="70.5" customHeight="1" x14ac:dyDescent="0.25">
      <c r="B58" s="63"/>
      <c r="C58" s="64" t="str">
        <f>IFERROR(VLOOKUP(B58,Table_PrewrittenCode[#All],2,0),"")</f>
        <v/>
      </c>
      <c r="D58" s="32" t="str">
        <f>IFERROR(VLOOKUP(B58,Table_PrewrittenCode[#All],3,0),"")</f>
        <v/>
      </c>
      <c r="E58" s="54"/>
      <c r="F58" s="58" t="str">
        <f t="shared" si="0"/>
        <v/>
      </c>
      <c r="G58" s="54"/>
      <c r="H58" s="59" t="str">
        <f t="shared" si="1"/>
        <v/>
      </c>
      <c r="I58" s="48" t="str">
        <f t="shared" si="2"/>
        <v/>
      </c>
      <c r="J58" s="54"/>
      <c r="K58" s="60" t="str">
        <f t="shared" si="3"/>
        <v/>
      </c>
      <c r="L58" s="32" t="str">
        <f t="shared" si="4"/>
        <v/>
      </c>
      <c r="M58" s="32" t="str">
        <f t="shared" si="5"/>
        <v/>
      </c>
      <c r="N58" s="55"/>
      <c r="O58" s="66" t="str">
        <f t="shared" si="6"/>
        <v/>
      </c>
      <c r="P58" s="65"/>
      <c r="Q58" s="60" t="str">
        <f t="shared" si="7"/>
        <v/>
      </c>
      <c r="R58" s="32" t="str">
        <f t="shared" si="8"/>
        <v/>
      </c>
      <c r="S58" s="34" t="str">
        <f t="shared" si="9"/>
        <v/>
      </c>
      <c r="T58" s="32" t="str">
        <f t="shared" si="10"/>
        <v/>
      </c>
      <c r="U58" s="32" t="str">
        <f t="shared" si="11"/>
        <v/>
      </c>
      <c r="V58" s="32" t="str">
        <f t="shared" si="12"/>
        <v/>
      </c>
      <c r="W58" s="32" t="str">
        <f t="shared" si="13"/>
        <v/>
      </c>
      <c r="X58" s="32" t="str">
        <f t="shared" si="14"/>
        <v/>
      </c>
      <c r="Y58" s="32" t="str">
        <f t="shared" si="15"/>
        <v/>
      </c>
      <c r="Z58" s="32" t="str">
        <f t="shared" si="16"/>
        <v/>
      </c>
      <c r="AA58" s="32" t="str">
        <f t="shared" si="17"/>
        <v/>
      </c>
      <c r="AB58" s="32" t="str">
        <f t="shared" si="18"/>
        <v/>
      </c>
      <c r="AC58" s="35" t="str">
        <f t="shared" si="19"/>
        <v/>
      </c>
      <c r="AD58" s="32" t="str">
        <f t="shared" si="20"/>
        <v/>
      </c>
      <c r="AE58" s="32" t="str">
        <f t="shared" si="21"/>
        <v/>
      </c>
      <c r="AF58" s="32" t="str">
        <f t="shared" si="22"/>
        <v/>
      </c>
      <c r="AG58" s="32" t="str">
        <f t="shared" si="23"/>
        <v/>
      </c>
      <c r="AH58" s="32" t="str">
        <f t="shared" si="24"/>
        <v/>
      </c>
      <c r="AI58" s="32" t="str">
        <f t="shared" si="25"/>
        <v/>
      </c>
      <c r="AJ58" s="32" t="str">
        <f t="shared" si="26"/>
        <v/>
      </c>
      <c r="AK58" s="61" t="str">
        <f t="shared" si="27"/>
        <v/>
      </c>
      <c r="AL58" s="54"/>
      <c r="AM58" s="60" t="str">
        <f t="shared" si="28"/>
        <v/>
      </c>
      <c r="AN58" s="38"/>
      <c r="AO58" s="32" t="str">
        <f t="shared" si="29"/>
        <v/>
      </c>
      <c r="AP58" s="32" t="str">
        <f t="shared" si="30"/>
        <v/>
      </c>
      <c r="AQ58" s="32" t="str">
        <f t="shared" si="31"/>
        <v/>
      </c>
      <c r="AR58" s="32" t="str">
        <f t="shared" si="32"/>
        <v/>
      </c>
      <c r="AS58" s="32" t="str">
        <f t="shared" si="33"/>
        <v/>
      </c>
      <c r="AT58" s="32" t="str">
        <f t="shared" si="34"/>
        <v/>
      </c>
      <c r="AU58" s="32" t="str">
        <f t="shared" si="35"/>
        <v/>
      </c>
      <c r="AV58" s="32" t="str">
        <f t="shared" si="36"/>
        <v/>
      </c>
      <c r="AW58" s="32" t="str">
        <f t="shared" si="37"/>
        <v/>
      </c>
      <c r="AX58" s="32" t="str">
        <f t="shared" si="38"/>
        <v/>
      </c>
      <c r="AY58" s="32" t="str">
        <f t="shared" si="39"/>
        <v/>
      </c>
      <c r="AZ58" s="32" t="str">
        <f t="shared" si="40"/>
        <v/>
      </c>
      <c r="BA58" s="32" t="str">
        <f t="shared" si="41"/>
        <v/>
      </c>
      <c r="BB58" s="70"/>
      <c r="BC58" s="71" t="str">
        <f t="shared" si="42"/>
        <v/>
      </c>
      <c r="BD58" s="55"/>
      <c r="BE58" s="62" t="str">
        <f t="shared" si="43"/>
        <v/>
      </c>
      <c r="BF58" s="35" t="str">
        <f t="shared" si="44"/>
        <v/>
      </c>
      <c r="BG58" s="38"/>
      <c r="BH58" s="35" t="str">
        <f t="shared" si="45"/>
        <v/>
      </c>
      <c r="BI58" s="35" t="str">
        <f t="shared" si="46"/>
        <v/>
      </c>
      <c r="BJ58" s="38"/>
      <c r="BK58" s="35" t="str">
        <f t="shared" si="47"/>
        <v/>
      </c>
      <c r="BL58" s="35" t="str">
        <f t="shared" si="48"/>
        <v/>
      </c>
      <c r="BM58" s="38"/>
      <c r="BN58" s="35" t="str">
        <f t="shared" si="49"/>
        <v/>
      </c>
      <c r="BO58" s="35" t="str">
        <f t="shared" si="50"/>
        <v/>
      </c>
      <c r="BP58" s="32" t="str">
        <f t="shared" si="51"/>
        <v/>
      </c>
      <c r="BQ58" s="35" t="str">
        <f t="shared" si="52"/>
        <v/>
      </c>
      <c r="BR58" s="37" t="str">
        <f t="shared" si="53"/>
        <v/>
      </c>
      <c r="BS58" s="1"/>
    </row>
    <row r="59" spans="2:71" ht="70.5" customHeight="1" x14ac:dyDescent="0.25">
      <c r="B59" s="63"/>
      <c r="C59" s="64" t="str">
        <f>IFERROR(VLOOKUP(B59,Table_PrewrittenCode[#All],2,0),"")</f>
        <v/>
      </c>
      <c r="D59" s="32" t="str">
        <f>IFERROR(VLOOKUP(B59,Table_PrewrittenCode[#All],3,0),"")</f>
        <v/>
      </c>
      <c r="E59" s="54"/>
      <c r="F59" s="58" t="str">
        <f t="shared" si="0"/>
        <v/>
      </c>
      <c r="G59" s="54"/>
      <c r="H59" s="59" t="str">
        <f t="shared" si="1"/>
        <v/>
      </c>
      <c r="I59" s="48" t="str">
        <f t="shared" si="2"/>
        <v/>
      </c>
      <c r="J59" s="54"/>
      <c r="K59" s="60" t="str">
        <f t="shared" si="3"/>
        <v/>
      </c>
      <c r="L59" s="32" t="str">
        <f t="shared" si="4"/>
        <v/>
      </c>
      <c r="M59" s="32" t="str">
        <f t="shared" si="5"/>
        <v/>
      </c>
      <c r="N59" s="55"/>
      <c r="O59" s="66" t="str">
        <f t="shared" si="6"/>
        <v/>
      </c>
      <c r="P59" s="65"/>
      <c r="Q59" s="60" t="str">
        <f t="shared" si="7"/>
        <v/>
      </c>
      <c r="R59" s="32" t="str">
        <f t="shared" si="8"/>
        <v/>
      </c>
      <c r="S59" s="34" t="str">
        <f t="shared" si="9"/>
        <v/>
      </c>
      <c r="T59" s="32" t="str">
        <f t="shared" si="10"/>
        <v/>
      </c>
      <c r="U59" s="32" t="str">
        <f t="shared" si="11"/>
        <v/>
      </c>
      <c r="V59" s="32" t="str">
        <f t="shared" si="12"/>
        <v/>
      </c>
      <c r="W59" s="32" t="str">
        <f t="shared" si="13"/>
        <v/>
      </c>
      <c r="X59" s="32" t="str">
        <f t="shared" si="14"/>
        <v/>
      </c>
      <c r="Y59" s="32" t="str">
        <f t="shared" si="15"/>
        <v/>
      </c>
      <c r="Z59" s="32" t="str">
        <f t="shared" si="16"/>
        <v/>
      </c>
      <c r="AA59" s="32" t="str">
        <f t="shared" si="17"/>
        <v/>
      </c>
      <c r="AB59" s="32" t="str">
        <f t="shared" si="18"/>
        <v/>
      </c>
      <c r="AC59" s="35" t="str">
        <f t="shared" si="19"/>
        <v/>
      </c>
      <c r="AD59" s="32" t="str">
        <f t="shared" si="20"/>
        <v/>
      </c>
      <c r="AE59" s="32" t="str">
        <f t="shared" si="21"/>
        <v/>
      </c>
      <c r="AF59" s="32" t="str">
        <f t="shared" si="22"/>
        <v/>
      </c>
      <c r="AG59" s="32" t="str">
        <f t="shared" si="23"/>
        <v/>
      </c>
      <c r="AH59" s="32" t="str">
        <f t="shared" si="24"/>
        <v/>
      </c>
      <c r="AI59" s="32" t="str">
        <f t="shared" si="25"/>
        <v/>
      </c>
      <c r="AJ59" s="32" t="str">
        <f t="shared" si="26"/>
        <v/>
      </c>
      <c r="AK59" s="61" t="str">
        <f t="shared" si="27"/>
        <v/>
      </c>
      <c r="AL59" s="54"/>
      <c r="AM59" s="60" t="str">
        <f t="shared" si="28"/>
        <v/>
      </c>
      <c r="AN59" s="38"/>
      <c r="AO59" s="32" t="str">
        <f t="shared" si="29"/>
        <v/>
      </c>
      <c r="AP59" s="32" t="str">
        <f t="shared" si="30"/>
        <v/>
      </c>
      <c r="AQ59" s="32" t="str">
        <f t="shared" si="31"/>
        <v/>
      </c>
      <c r="AR59" s="32" t="str">
        <f t="shared" si="32"/>
        <v/>
      </c>
      <c r="AS59" s="32" t="str">
        <f t="shared" si="33"/>
        <v/>
      </c>
      <c r="AT59" s="32" t="str">
        <f t="shared" si="34"/>
        <v/>
      </c>
      <c r="AU59" s="32" t="str">
        <f t="shared" si="35"/>
        <v/>
      </c>
      <c r="AV59" s="32" t="str">
        <f t="shared" si="36"/>
        <v/>
      </c>
      <c r="AW59" s="32" t="str">
        <f t="shared" si="37"/>
        <v/>
      </c>
      <c r="AX59" s="32" t="str">
        <f t="shared" si="38"/>
        <v/>
      </c>
      <c r="AY59" s="32" t="str">
        <f t="shared" si="39"/>
        <v/>
      </c>
      <c r="AZ59" s="32" t="str">
        <f t="shared" si="40"/>
        <v/>
      </c>
      <c r="BA59" s="32" t="str">
        <f t="shared" si="41"/>
        <v/>
      </c>
      <c r="BB59" s="70"/>
      <c r="BC59" s="71" t="str">
        <f t="shared" si="42"/>
        <v/>
      </c>
      <c r="BD59" s="55"/>
      <c r="BE59" s="62" t="str">
        <f t="shared" si="43"/>
        <v/>
      </c>
      <c r="BF59" s="35" t="str">
        <f t="shared" si="44"/>
        <v/>
      </c>
      <c r="BG59" s="38"/>
      <c r="BH59" s="35" t="str">
        <f t="shared" si="45"/>
        <v/>
      </c>
      <c r="BI59" s="35" t="str">
        <f t="shared" si="46"/>
        <v/>
      </c>
      <c r="BJ59" s="38"/>
      <c r="BK59" s="35" t="str">
        <f t="shared" si="47"/>
        <v/>
      </c>
      <c r="BL59" s="35" t="str">
        <f t="shared" si="48"/>
        <v/>
      </c>
      <c r="BM59" s="38"/>
      <c r="BN59" s="35" t="str">
        <f t="shared" si="49"/>
        <v/>
      </c>
      <c r="BO59" s="35" t="str">
        <f t="shared" si="50"/>
        <v/>
      </c>
      <c r="BP59" s="32" t="str">
        <f t="shared" si="51"/>
        <v/>
      </c>
      <c r="BQ59" s="35" t="str">
        <f t="shared" si="52"/>
        <v/>
      </c>
      <c r="BR59" s="37" t="str">
        <f t="shared" si="53"/>
        <v/>
      </c>
      <c r="BS59" s="1"/>
    </row>
    <row r="60" spans="2:71" ht="70.5" customHeight="1" x14ac:dyDescent="0.25">
      <c r="B60" s="63"/>
      <c r="C60" s="64" t="str">
        <f>IFERROR(VLOOKUP(B60,Table_PrewrittenCode[#All],2,0),"")</f>
        <v/>
      </c>
      <c r="D60" s="32" t="str">
        <f>IFERROR(VLOOKUP(B60,Table_PrewrittenCode[#All],3,0),"")</f>
        <v/>
      </c>
      <c r="E60" s="54"/>
      <c r="F60" s="58" t="str">
        <f t="shared" si="0"/>
        <v/>
      </c>
      <c r="G60" s="54"/>
      <c r="H60" s="59" t="str">
        <f t="shared" si="1"/>
        <v/>
      </c>
      <c r="I60" s="48" t="str">
        <f t="shared" si="2"/>
        <v/>
      </c>
      <c r="J60" s="54"/>
      <c r="K60" s="60" t="str">
        <f t="shared" si="3"/>
        <v/>
      </c>
      <c r="L60" s="32" t="str">
        <f t="shared" si="4"/>
        <v/>
      </c>
      <c r="M60" s="32" t="str">
        <f t="shared" si="5"/>
        <v/>
      </c>
      <c r="N60" s="55"/>
      <c r="O60" s="66" t="str">
        <f t="shared" si="6"/>
        <v/>
      </c>
      <c r="P60" s="65"/>
      <c r="Q60" s="60" t="str">
        <f t="shared" si="7"/>
        <v/>
      </c>
      <c r="R60" s="32" t="str">
        <f t="shared" si="8"/>
        <v/>
      </c>
      <c r="S60" s="34" t="str">
        <f t="shared" si="9"/>
        <v/>
      </c>
      <c r="T60" s="32" t="str">
        <f t="shared" si="10"/>
        <v/>
      </c>
      <c r="U60" s="32" t="str">
        <f t="shared" si="11"/>
        <v/>
      </c>
      <c r="V60" s="32" t="str">
        <f t="shared" si="12"/>
        <v/>
      </c>
      <c r="W60" s="32" t="str">
        <f t="shared" si="13"/>
        <v/>
      </c>
      <c r="X60" s="32" t="str">
        <f t="shared" si="14"/>
        <v/>
      </c>
      <c r="Y60" s="32" t="str">
        <f t="shared" si="15"/>
        <v/>
      </c>
      <c r="Z60" s="32" t="str">
        <f t="shared" si="16"/>
        <v/>
      </c>
      <c r="AA60" s="32" t="str">
        <f t="shared" si="17"/>
        <v/>
      </c>
      <c r="AB60" s="32" t="str">
        <f t="shared" si="18"/>
        <v/>
      </c>
      <c r="AC60" s="35" t="str">
        <f t="shared" si="19"/>
        <v/>
      </c>
      <c r="AD60" s="32" t="str">
        <f t="shared" si="20"/>
        <v/>
      </c>
      <c r="AE60" s="32" t="str">
        <f t="shared" si="21"/>
        <v/>
      </c>
      <c r="AF60" s="32" t="str">
        <f t="shared" si="22"/>
        <v/>
      </c>
      <c r="AG60" s="32" t="str">
        <f t="shared" si="23"/>
        <v/>
      </c>
      <c r="AH60" s="32" t="str">
        <f t="shared" si="24"/>
        <v/>
      </c>
      <c r="AI60" s="32" t="str">
        <f t="shared" si="25"/>
        <v/>
      </c>
      <c r="AJ60" s="32" t="str">
        <f t="shared" si="26"/>
        <v/>
      </c>
      <c r="AK60" s="61" t="str">
        <f t="shared" si="27"/>
        <v/>
      </c>
      <c r="AL60" s="54"/>
      <c r="AM60" s="60" t="str">
        <f t="shared" si="28"/>
        <v/>
      </c>
      <c r="AN60" s="38"/>
      <c r="AO60" s="32" t="str">
        <f t="shared" si="29"/>
        <v/>
      </c>
      <c r="AP60" s="32" t="str">
        <f t="shared" si="30"/>
        <v/>
      </c>
      <c r="AQ60" s="32" t="str">
        <f t="shared" si="31"/>
        <v/>
      </c>
      <c r="AR60" s="32" t="str">
        <f t="shared" si="32"/>
        <v/>
      </c>
      <c r="AS60" s="32" t="str">
        <f t="shared" si="33"/>
        <v/>
      </c>
      <c r="AT60" s="32" t="str">
        <f t="shared" si="34"/>
        <v/>
      </c>
      <c r="AU60" s="32" t="str">
        <f t="shared" si="35"/>
        <v/>
      </c>
      <c r="AV60" s="32" t="str">
        <f t="shared" si="36"/>
        <v/>
      </c>
      <c r="AW60" s="32" t="str">
        <f t="shared" si="37"/>
        <v/>
      </c>
      <c r="AX60" s="32" t="str">
        <f t="shared" si="38"/>
        <v/>
      </c>
      <c r="AY60" s="32" t="str">
        <f t="shared" si="39"/>
        <v/>
      </c>
      <c r="AZ60" s="32" t="str">
        <f t="shared" si="40"/>
        <v/>
      </c>
      <c r="BA60" s="32" t="str">
        <f t="shared" si="41"/>
        <v/>
      </c>
      <c r="BB60" s="70"/>
      <c r="BC60" s="71" t="str">
        <f t="shared" si="42"/>
        <v/>
      </c>
      <c r="BD60" s="55"/>
      <c r="BE60" s="62" t="str">
        <f t="shared" si="43"/>
        <v/>
      </c>
      <c r="BF60" s="35" t="str">
        <f t="shared" si="44"/>
        <v/>
      </c>
      <c r="BG60" s="38"/>
      <c r="BH60" s="35" t="str">
        <f t="shared" si="45"/>
        <v/>
      </c>
      <c r="BI60" s="35" t="str">
        <f t="shared" si="46"/>
        <v/>
      </c>
      <c r="BJ60" s="38"/>
      <c r="BK60" s="35" t="str">
        <f t="shared" si="47"/>
        <v/>
      </c>
      <c r="BL60" s="35" t="str">
        <f t="shared" si="48"/>
        <v/>
      </c>
      <c r="BM60" s="38"/>
      <c r="BN60" s="35" t="str">
        <f t="shared" si="49"/>
        <v/>
      </c>
      <c r="BO60" s="35" t="str">
        <f t="shared" si="50"/>
        <v/>
      </c>
      <c r="BP60" s="32" t="str">
        <f t="shared" si="51"/>
        <v/>
      </c>
      <c r="BQ60" s="35" t="str">
        <f t="shared" si="52"/>
        <v/>
      </c>
      <c r="BR60" s="37" t="str">
        <f t="shared" si="53"/>
        <v/>
      </c>
      <c r="BS60" s="1"/>
    </row>
    <row r="61" spans="2:71" ht="70.5" customHeight="1" x14ac:dyDescent="0.25">
      <c r="B61" s="63"/>
      <c r="C61" s="64" t="str">
        <f>IFERROR(VLOOKUP(B61,Table_PrewrittenCode[#All],2,0),"")</f>
        <v/>
      </c>
      <c r="D61" s="32" t="str">
        <f>IFERROR(VLOOKUP(B61,Table_PrewrittenCode[#All],3,0),"")</f>
        <v/>
      </c>
      <c r="E61" s="54"/>
      <c r="F61" s="58" t="str">
        <f t="shared" si="0"/>
        <v/>
      </c>
      <c r="G61" s="54"/>
      <c r="H61" s="59" t="str">
        <f t="shared" si="1"/>
        <v/>
      </c>
      <c r="I61" s="48" t="str">
        <f t="shared" si="2"/>
        <v/>
      </c>
      <c r="J61" s="54"/>
      <c r="K61" s="60" t="str">
        <f t="shared" si="3"/>
        <v/>
      </c>
      <c r="L61" s="32" t="str">
        <f t="shared" si="4"/>
        <v/>
      </c>
      <c r="M61" s="32" t="str">
        <f t="shared" si="5"/>
        <v/>
      </c>
      <c r="N61" s="55"/>
      <c r="O61" s="66" t="str">
        <f t="shared" si="6"/>
        <v/>
      </c>
      <c r="P61" s="65"/>
      <c r="Q61" s="60" t="str">
        <f t="shared" si="7"/>
        <v/>
      </c>
      <c r="R61" s="32" t="str">
        <f t="shared" si="8"/>
        <v/>
      </c>
      <c r="S61" s="34" t="str">
        <f t="shared" si="9"/>
        <v/>
      </c>
      <c r="T61" s="32" t="str">
        <f t="shared" si="10"/>
        <v/>
      </c>
      <c r="U61" s="32" t="str">
        <f t="shared" si="11"/>
        <v/>
      </c>
      <c r="V61" s="32" t="str">
        <f t="shared" si="12"/>
        <v/>
      </c>
      <c r="W61" s="32" t="str">
        <f t="shared" si="13"/>
        <v/>
      </c>
      <c r="X61" s="32" t="str">
        <f t="shared" si="14"/>
        <v/>
      </c>
      <c r="Y61" s="32" t="str">
        <f t="shared" si="15"/>
        <v/>
      </c>
      <c r="Z61" s="32" t="str">
        <f t="shared" si="16"/>
        <v/>
      </c>
      <c r="AA61" s="32" t="str">
        <f t="shared" si="17"/>
        <v/>
      </c>
      <c r="AB61" s="32" t="str">
        <f t="shared" si="18"/>
        <v/>
      </c>
      <c r="AC61" s="35" t="str">
        <f t="shared" si="19"/>
        <v/>
      </c>
      <c r="AD61" s="32" t="str">
        <f t="shared" si="20"/>
        <v/>
      </c>
      <c r="AE61" s="32" t="str">
        <f t="shared" si="21"/>
        <v/>
      </c>
      <c r="AF61" s="32" t="str">
        <f t="shared" si="22"/>
        <v/>
      </c>
      <c r="AG61" s="32" t="str">
        <f t="shared" si="23"/>
        <v/>
      </c>
      <c r="AH61" s="32" t="str">
        <f t="shared" si="24"/>
        <v/>
      </c>
      <c r="AI61" s="32" t="str">
        <f t="shared" si="25"/>
        <v/>
      </c>
      <c r="AJ61" s="32" t="str">
        <f t="shared" si="26"/>
        <v/>
      </c>
      <c r="AK61" s="61" t="str">
        <f t="shared" si="27"/>
        <v/>
      </c>
      <c r="AL61" s="54"/>
      <c r="AM61" s="60" t="str">
        <f t="shared" si="28"/>
        <v/>
      </c>
      <c r="AN61" s="38"/>
      <c r="AO61" s="32" t="str">
        <f t="shared" si="29"/>
        <v/>
      </c>
      <c r="AP61" s="32" t="str">
        <f t="shared" si="30"/>
        <v/>
      </c>
      <c r="AQ61" s="32" t="str">
        <f t="shared" si="31"/>
        <v/>
      </c>
      <c r="AR61" s="32" t="str">
        <f t="shared" si="32"/>
        <v/>
      </c>
      <c r="AS61" s="32" t="str">
        <f t="shared" si="33"/>
        <v/>
      </c>
      <c r="AT61" s="32" t="str">
        <f t="shared" si="34"/>
        <v/>
      </c>
      <c r="AU61" s="32" t="str">
        <f t="shared" si="35"/>
        <v/>
      </c>
      <c r="AV61" s="32" t="str">
        <f t="shared" si="36"/>
        <v/>
      </c>
      <c r="AW61" s="32" t="str">
        <f t="shared" si="37"/>
        <v/>
      </c>
      <c r="AX61" s="32" t="str">
        <f t="shared" si="38"/>
        <v/>
      </c>
      <c r="AY61" s="32" t="str">
        <f t="shared" si="39"/>
        <v/>
      </c>
      <c r="AZ61" s="32" t="str">
        <f t="shared" si="40"/>
        <v/>
      </c>
      <c r="BA61" s="32" t="str">
        <f t="shared" si="41"/>
        <v/>
      </c>
      <c r="BB61" s="70"/>
      <c r="BC61" s="71" t="str">
        <f t="shared" si="42"/>
        <v/>
      </c>
      <c r="BD61" s="55"/>
      <c r="BE61" s="62" t="str">
        <f t="shared" si="43"/>
        <v/>
      </c>
      <c r="BF61" s="35" t="str">
        <f t="shared" si="44"/>
        <v/>
      </c>
      <c r="BG61" s="38"/>
      <c r="BH61" s="35" t="str">
        <f t="shared" si="45"/>
        <v/>
      </c>
      <c r="BI61" s="35" t="str">
        <f t="shared" si="46"/>
        <v/>
      </c>
      <c r="BJ61" s="38"/>
      <c r="BK61" s="35" t="str">
        <f t="shared" si="47"/>
        <v/>
      </c>
      <c r="BL61" s="35" t="str">
        <f t="shared" si="48"/>
        <v/>
      </c>
      <c r="BM61" s="38"/>
      <c r="BN61" s="35" t="str">
        <f t="shared" si="49"/>
        <v/>
      </c>
      <c r="BO61" s="35" t="str">
        <f t="shared" si="50"/>
        <v/>
      </c>
      <c r="BP61" s="32" t="str">
        <f t="shared" si="51"/>
        <v/>
      </c>
      <c r="BQ61" s="35" t="str">
        <f t="shared" si="52"/>
        <v/>
      </c>
      <c r="BR61" s="37" t="str">
        <f t="shared" si="53"/>
        <v/>
      </c>
      <c r="BS61" s="1"/>
    </row>
    <row r="62" spans="2:71" ht="70.5" customHeight="1" x14ac:dyDescent="0.25">
      <c r="B62" s="63"/>
      <c r="C62" s="64" t="str">
        <f>IFERROR(VLOOKUP(B62,Table_PrewrittenCode[#All],2,0),"")</f>
        <v/>
      </c>
      <c r="D62" s="32" t="str">
        <f>IFERROR(VLOOKUP(B62,Table_PrewrittenCode[#All],3,0),"")</f>
        <v/>
      </c>
      <c r="E62" s="54"/>
      <c r="F62" s="58" t="str">
        <f t="shared" si="0"/>
        <v/>
      </c>
      <c r="G62" s="54"/>
      <c r="H62" s="59" t="str">
        <f t="shared" si="1"/>
        <v/>
      </c>
      <c r="I62" s="48" t="str">
        <f t="shared" si="2"/>
        <v/>
      </c>
      <c r="J62" s="54"/>
      <c r="K62" s="60" t="str">
        <f t="shared" si="3"/>
        <v/>
      </c>
      <c r="L62" s="32" t="str">
        <f t="shared" si="4"/>
        <v/>
      </c>
      <c r="M62" s="32" t="str">
        <f t="shared" si="5"/>
        <v/>
      </c>
      <c r="N62" s="55"/>
      <c r="O62" s="66" t="str">
        <f t="shared" si="6"/>
        <v/>
      </c>
      <c r="P62" s="65"/>
      <c r="Q62" s="60" t="str">
        <f t="shared" si="7"/>
        <v/>
      </c>
      <c r="R62" s="32" t="str">
        <f t="shared" si="8"/>
        <v/>
      </c>
      <c r="S62" s="34" t="str">
        <f t="shared" si="9"/>
        <v/>
      </c>
      <c r="T62" s="32" t="str">
        <f t="shared" si="10"/>
        <v/>
      </c>
      <c r="U62" s="32" t="str">
        <f t="shared" si="11"/>
        <v/>
      </c>
      <c r="V62" s="32" t="str">
        <f t="shared" si="12"/>
        <v/>
      </c>
      <c r="W62" s="32" t="str">
        <f t="shared" si="13"/>
        <v/>
      </c>
      <c r="X62" s="32" t="str">
        <f t="shared" si="14"/>
        <v/>
      </c>
      <c r="Y62" s="32" t="str">
        <f t="shared" si="15"/>
        <v/>
      </c>
      <c r="Z62" s="32" t="str">
        <f t="shared" si="16"/>
        <v/>
      </c>
      <c r="AA62" s="32" t="str">
        <f t="shared" si="17"/>
        <v/>
      </c>
      <c r="AB62" s="32" t="str">
        <f t="shared" si="18"/>
        <v/>
      </c>
      <c r="AC62" s="35" t="str">
        <f t="shared" si="19"/>
        <v/>
      </c>
      <c r="AD62" s="32" t="str">
        <f t="shared" si="20"/>
        <v/>
      </c>
      <c r="AE62" s="32" t="str">
        <f t="shared" si="21"/>
        <v/>
      </c>
      <c r="AF62" s="32" t="str">
        <f t="shared" si="22"/>
        <v/>
      </c>
      <c r="AG62" s="32" t="str">
        <f t="shared" si="23"/>
        <v/>
      </c>
      <c r="AH62" s="32" t="str">
        <f t="shared" si="24"/>
        <v/>
      </c>
      <c r="AI62" s="32" t="str">
        <f t="shared" si="25"/>
        <v/>
      </c>
      <c r="AJ62" s="32" t="str">
        <f t="shared" si="26"/>
        <v/>
      </c>
      <c r="AK62" s="61" t="str">
        <f t="shared" si="27"/>
        <v/>
      </c>
      <c r="AL62" s="54"/>
      <c r="AM62" s="60" t="str">
        <f t="shared" si="28"/>
        <v/>
      </c>
      <c r="AN62" s="38"/>
      <c r="AO62" s="32" t="str">
        <f t="shared" si="29"/>
        <v/>
      </c>
      <c r="AP62" s="32" t="str">
        <f t="shared" si="30"/>
        <v/>
      </c>
      <c r="AQ62" s="32" t="str">
        <f t="shared" si="31"/>
        <v/>
      </c>
      <c r="AR62" s="32" t="str">
        <f t="shared" si="32"/>
        <v/>
      </c>
      <c r="AS62" s="32" t="str">
        <f t="shared" si="33"/>
        <v/>
      </c>
      <c r="AT62" s="32" t="str">
        <f t="shared" si="34"/>
        <v/>
      </c>
      <c r="AU62" s="32" t="str">
        <f t="shared" si="35"/>
        <v/>
      </c>
      <c r="AV62" s="32" t="str">
        <f t="shared" si="36"/>
        <v/>
      </c>
      <c r="AW62" s="32" t="str">
        <f t="shared" si="37"/>
        <v/>
      </c>
      <c r="AX62" s="32" t="str">
        <f t="shared" si="38"/>
        <v/>
      </c>
      <c r="AY62" s="32" t="str">
        <f t="shared" si="39"/>
        <v/>
      </c>
      <c r="AZ62" s="32" t="str">
        <f t="shared" si="40"/>
        <v/>
      </c>
      <c r="BA62" s="32" t="str">
        <f t="shared" si="41"/>
        <v/>
      </c>
      <c r="BB62" s="70"/>
      <c r="BC62" s="71" t="str">
        <f t="shared" si="42"/>
        <v/>
      </c>
      <c r="BD62" s="55"/>
      <c r="BE62" s="62" t="str">
        <f t="shared" si="43"/>
        <v/>
      </c>
      <c r="BF62" s="35" t="str">
        <f t="shared" si="44"/>
        <v/>
      </c>
      <c r="BG62" s="38"/>
      <c r="BH62" s="35" t="str">
        <f t="shared" si="45"/>
        <v/>
      </c>
      <c r="BI62" s="35" t="str">
        <f t="shared" si="46"/>
        <v/>
      </c>
      <c r="BJ62" s="38"/>
      <c r="BK62" s="35" t="str">
        <f t="shared" si="47"/>
        <v/>
      </c>
      <c r="BL62" s="35" t="str">
        <f t="shared" si="48"/>
        <v/>
      </c>
      <c r="BM62" s="38"/>
      <c r="BN62" s="35" t="str">
        <f t="shared" si="49"/>
        <v/>
      </c>
      <c r="BO62" s="35" t="str">
        <f t="shared" si="50"/>
        <v/>
      </c>
      <c r="BP62" s="32" t="str">
        <f t="shared" si="51"/>
        <v/>
      </c>
      <c r="BQ62" s="35" t="str">
        <f t="shared" si="52"/>
        <v/>
      </c>
      <c r="BR62" s="37" t="str">
        <f t="shared" si="53"/>
        <v/>
      </c>
      <c r="BS62" s="1"/>
    </row>
    <row r="63" spans="2:71" ht="70.5" customHeight="1" x14ac:dyDescent="0.25">
      <c r="B63" s="63"/>
      <c r="C63" s="64" t="str">
        <f>IFERROR(VLOOKUP(B63,Table_PrewrittenCode[#All],2,0),"")</f>
        <v/>
      </c>
      <c r="D63" s="32" t="str">
        <f>IFERROR(VLOOKUP(B63,Table_PrewrittenCode[#All],3,0),"")</f>
        <v/>
      </c>
      <c r="E63" s="54"/>
      <c r="F63" s="58" t="str">
        <f t="shared" si="0"/>
        <v/>
      </c>
      <c r="G63" s="54"/>
      <c r="H63" s="59" t="str">
        <f t="shared" si="1"/>
        <v/>
      </c>
      <c r="I63" s="48" t="str">
        <f t="shared" si="2"/>
        <v/>
      </c>
      <c r="J63" s="54"/>
      <c r="K63" s="60" t="str">
        <f t="shared" si="3"/>
        <v/>
      </c>
      <c r="L63" s="32" t="str">
        <f t="shared" si="4"/>
        <v/>
      </c>
      <c r="M63" s="32" t="str">
        <f t="shared" si="5"/>
        <v/>
      </c>
      <c r="N63" s="55"/>
      <c r="O63" s="66" t="str">
        <f t="shared" si="6"/>
        <v/>
      </c>
      <c r="P63" s="65"/>
      <c r="Q63" s="60" t="str">
        <f t="shared" si="7"/>
        <v/>
      </c>
      <c r="R63" s="32" t="str">
        <f t="shared" si="8"/>
        <v/>
      </c>
      <c r="S63" s="34" t="str">
        <f t="shared" si="9"/>
        <v/>
      </c>
      <c r="T63" s="32" t="str">
        <f t="shared" si="10"/>
        <v/>
      </c>
      <c r="U63" s="32" t="str">
        <f t="shared" si="11"/>
        <v/>
      </c>
      <c r="V63" s="32" t="str">
        <f t="shared" si="12"/>
        <v/>
      </c>
      <c r="W63" s="32" t="str">
        <f t="shared" si="13"/>
        <v/>
      </c>
      <c r="X63" s="32" t="str">
        <f t="shared" si="14"/>
        <v/>
      </c>
      <c r="Y63" s="32" t="str">
        <f t="shared" si="15"/>
        <v/>
      </c>
      <c r="Z63" s="32" t="str">
        <f t="shared" si="16"/>
        <v/>
      </c>
      <c r="AA63" s="32" t="str">
        <f t="shared" si="17"/>
        <v/>
      </c>
      <c r="AB63" s="32" t="str">
        <f t="shared" si="18"/>
        <v/>
      </c>
      <c r="AC63" s="35" t="str">
        <f t="shared" si="19"/>
        <v/>
      </c>
      <c r="AD63" s="32" t="str">
        <f t="shared" si="20"/>
        <v/>
      </c>
      <c r="AE63" s="32" t="str">
        <f t="shared" si="21"/>
        <v/>
      </c>
      <c r="AF63" s="32" t="str">
        <f t="shared" si="22"/>
        <v/>
      </c>
      <c r="AG63" s="32" t="str">
        <f t="shared" si="23"/>
        <v/>
      </c>
      <c r="AH63" s="32" t="str">
        <f t="shared" si="24"/>
        <v/>
      </c>
      <c r="AI63" s="32" t="str">
        <f t="shared" si="25"/>
        <v/>
      </c>
      <c r="AJ63" s="32" t="str">
        <f t="shared" si="26"/>
        <v/>
      </c>
      <c r="AK63" s="61" t="str">
        <f t="shared" si="27"/>
        <v/>
      </c>
      <c r="AL63" s="54"/>
      <c r="AM63" s="60" t="str">
        <f t="shared" si="28"/>
        <v/>
      </c>
      <c r="AN63" s="38"/>
      <c r="AO63" s="32" t="str">
        <f t="shared" si="29"/>
        <v/>
      </c>
      <c r="AP63" s="32" t="str">
        <f t="shared" si="30"/>
        <v/>
      </c>
      <c r="AQ63" s="32" t="str">
        <f t="shared" si="31"/>
        <v/>
      </c>
      <c r="AR63" s="32" t="str">
        <f t="shared" si="32"/>
        <v/>
      </c>
      <c r="AS63" s="32" t="str">
        <f t="shared" si="33"/>
        <v/>
      </c>
      <c r="AT63" s="32" t="str">
        <f t="shared" si="34"/>
        <v/>
      </c>
      <c r="AU63" s="32" t="str">
        <f t="shared" si="35"/>
        <v/>
      </c>
      <c r="AV63" s="32" t="str">
        <f t="shared" si="36"/>
        <v/>
      </c>
      <c r="AW63" s="32" t="str">
        <f t="shared" si="37"/>
        <v/>
      </c>
      <c r="AX63" s="32" t="str">
        <f t="shared" si="38"/>
        <v/>
      </c>
      <c r="AY63" s="32" t="str">
        <f t="shared" si="39"/>
        <v/>
      </c>
      <c r="AZ63" s="32" t="str">
        <f t="shared" si="40"/>
        <v/>
      </c>
      <c r="BA63" s="32" t="str">
        <f t="shared" si="41"/>
        <v/>
      </c>
      <c r="BB63" s="70"/>
      <c r="BC63" s="71" t="str">
        <f t="shared" si="42"/>
        <v/>
      </c>
      <c r="BD63" s="55"/>
      <c r="BE63" s="62" t="str">
        <f t="shared" si="43"/>
        <v/>
      </c>
      <c r="BF63" s="35" t="str">
        <f t="shared" si="44"/>
        <v/>
      </c>
      <c r="BG63" s="38"/>
      <c r="BH63" s="35" t="str">
        <f t="shared" si="45"/>
        <v/>
      </c>
      <c r="BI63" s="35" t="str">
        <f t="shared" si="46"/>
        <v/>
      </c>
      <c r="BJ63" s="38"/>
      <c r="BK63" s="35" t="str">
        <f t="shared" si="47"/>
        <v/>
      </c>
      <c r="BL63" s="35" t="str">
        <f t="shared" si="48"/>
        <v/>
      </c>
      <c r="BM63" s="38"/>
      <c r="BN63" s="35" t="str">
        <f t="shared" si="49"/>
        <v/>
      </c>
      <c r="BO63" s="35" t="str">
        <f t="shared" si="50"/>
        <v/>
      </c>
      <c r="BP63" s="32" t="str">
        <f t="shared" si="51"/>
        <v/>
      </c>
      <c r="BQ63" s="35" t="str">
        <f t="shared" si="52"/>
        <v/>
      </c>
      <c r="BR63" s="37" t="str">
        <f t="shared" si="53"/>
        <v/>
      </c>
      <c r="BS63" s="1"/>
    </row>
    <row r="64" spans="2:71" ht="70.5" customHeight="1" x14ac:dyDescent="0.25">
      <c r="B64" s="63"/>
      <c r="C64" s="64" t="str">
        <f>IFERROR(VLOOKUP(B64,Table_PrewrittenCode[#All],2,0),"")</f>
        <v/>
      </c>
      <c r="D64" s="32" t="str">
        <f>IFERROR(VLOOKUP(B64,Table_PrewrittenCode[#All],3,0),"")</f>
        <v/>
      </c>
      <c r="E64" s="54"/>
      <c r="F64" s="58" t="str">
        <f t="shared" si="0"/>
        <v/>
      </c>
      <c r="G64" s="54"/>
      <c r="H64" s="59" t="str">
        <f t="shared" si="1"/>
        <v/>
      </c>
      <c r="I64" s="48" t="str">
        <f t="shared" si="2"/>
        <v/>
      </c>
      <c r="J64" s="54"/>
      <c r="K64" s="60" t="str">
        <f t="shared" si="3"/>
        <v/>
      </c>
      <c r="L64" s="32" t="str">
        <f t="shared" si="4"/>
        <v/>
      </c>
      <c r="M64" s="32" t="str">
        <f t="shared" si="5"/>
        <v/>
      </c>
      <c r="N64" s="55"/>
      <c r="O64" s="66" t="str">
        <f t="shared" si="6"/>
        <v/>
      </c>
      <c r="P64" s="65"/>
      <c r="Q64" s="60" t="str">
        <f t="shared" si="7"/>
        <v/>
      </c>
      <c r="R64" s="32" t="str">
        <f t="shared" si="8"/>
        <v/>
      </c>
      <c r="S64" s="34" t="str">
        <f t="shared" si="9"/>
        <v/>
      </c>
      <c r="T64" s="32" t="str">
        <f t="shared" si="10"/>
        <v/>
      </c>
      <c r="U64" s="32" t="str">
        <f t="shared" si="11"/>
        <v/>
      </c>
      <c r="V64" s="32" t="str">
        <f t="shared" si="12"/>
        <v/>
      </c>
      <c r="W64" s="32" t="str">
        <f t="shared" si="13"/>
        <v/>
      </c>
      <c r="X64" s="32" t="str">
        <f t="shared" si="14"/>
        <v/>
      </c>
      <c r="Y64" s="32" t="str">
        <f t="shared" si="15"/>
        <v/>
      </c>
      <c r="Z64" s="32" t="str">
        <f t="shared" si="16"/>
        <v/>
      </c>
      <c r="AA64" s="32" t="str">
        <f t="shared" si="17"/>
        <v/>
      </c>
      <c r="AB64" s="32" t="str">
        <f t="shared" si="18"/>
        <v/>
      </c>
      <c r="AC64" s="35" t="str">
        <f t="shared" si="19"/>
        <v/>
      </c>
      <c r="AD64" s="32" t="str">
        <f t="shared" si="20"/>
        <v/>
      </c>
      <c r="AE64" s="32" t="str">
        <f t="shared" si="21"/>
        <v/>
      </c>
      <c r="AF64" s="32" t="str">
        <f t="shared" si="22"/>
        <v/>
      </c>
      <c r="AG64" s="32" t="str">
        <f t="shared" si="23"/>
        <v/>
      </c>
      <c r="AH64" s="32" t="str">
        <f t="shared" si="24"/>
        <v/>
      </c>
      <c r="AI64" s="32" t="str">
        <f t="shared" si="25"/>
        <v/>
      </c>
      <c r="AJ64" s="32" t="str">
        <f t="shared" si="26"/>
        <v/>
      </c>
      <c r="AK64" s="61" t="str">
        <f t="shared" si="27"/>
        <v/>
      </c>
      <c r="AL64" s="54"/>
      <c r="AM64" s="60" t="str">
        <f t="shared" si="28"/>
        <v/>
      </c>
      <c r="AN64" s="38"/>
      <c r="AO64" s="32" t="str">
        <f t="shared" si="29"/>
        <v/>
      </c>
      <c r="AP64" s="32" t="str">
        <f t="shared" si="30"/>
        <v/>
      </c>
      <c r="AQ64" s="32" t="str">
        <f t="shared" si="31"/>
        <v/>
      </c>
      <c r="AR64" s="32" t="str">
        <f t="shared" si="32"/>
        <v/>
      </c>
      <c r="AS64" s="32" t="str">
        <f t="shared" si="33"/>
        <v/>
      </c>
      <c r="AT64" s="32" t="str">
        <f t="shared" si="34"/>
        <v/>
      </c>
      <c r="AU64" s="32" t="str">
        <f t="shared" si="35"/>
        <v/>
      </c>
      <c r="AV64" s="32" t="str">
        <f t="shared" si="36"/>
        <v/>
      </c>
      <c r="AW64" s="32" t="str">
        <f t="shared" si="37"/>
        <v/>
      </c>
      <c r="AX64" s="32" t="str">
        <f t="shared" si="38"/>
        <v/>
      </c>
      <c r="AY64" s="32" t="str">
        <f t="shared" si="39"/>
        <v/>
      </c>
      <c r="AZ64" s="32" t="str">
        <f t="shared" si="40"/>
        <v/>
      </c>
      <c r="BA64" s="32" t="str">
        <f t="shared" si="41"/>
        <v/>
      </c>
      <c r="BB64" s="70"/>
      <c r="BC64" s="71" t="str">
        <f t="shared" si="42"/>
        <v/>
      </c>
      <c r="BD64" s="55"/>
      <c r="BE64" s="62" t="str">
        <f t="shared" si="43"/>
        <v/>
      </c>
      <c r="BF64" s="35" t="str">
        <f t="shared" si="44"/>
        <v/>
      </c>
      <c r="BG64" s="38"/>
      <c r="BH64" s="35" t="str">
        <f t="shared" si="45"/>
        <v/>
      </c>
      <c r="BI64" s="35" t="str">
        <f t="shared" si="46"/>
        <v/>
      </c>
      <c r="BJ64" s="38"/>
      <c r="BK64" s="35" t="str">
        <f t="shared" si="47"/>
        <v/>
      </c>
      <c r="BL64" s="35" t="str">
        <f t="shared" si="48"/>
        <v/>
      </c>
      <c r="BM64" s="38"/>
      <c r="BN64" s="35" t="str">
        <f t="shared" si="49"/>
        <v/>
      </c>
      <c r="BO64" s="35" t="str">
        <f t="shared" si="50"/>
        <v/>
      </c>
      <c r="BP64" s="32" t="str">
        <f t="shared" si="51"/>
        <v/>
      </c>
      <c r="BQ64" s="35" t="str">
        <f t="shared" si="52"/>
        <v/>
      </c>
      <c r="BR64" s="37" t="str">
        <f t="shared" si="53"/>
        <v/>
      </c>
      <c r="BS64" s="1"/>
    </row>
    <row r="65" spans="2:71" ht="70.5" customHeight="1" x14ac:dyDescent="0.25">
      <c r="B65" s="63"/>
      <c r="C65" s="64" t="str">
        <f>IFERROR(VLOOKUP(B65,Table_PrewrittenCode[#All],2,0),"")</f>
        <v/>
      </c>
      <c r="D65" s="32" t="str">
        <f>IFERROR(VLOOKUP(B65,Table_PrewrittenCode[#All],3,0),"")</f>
        <v/>
      </c>
      <c r="E65" s="54"/>
      <c r="F65" s="58" t="str">
        <f t="shared" si="0"/>
        <v/>
      </c>
      <c r="G65" s="54"/>
      <c r="H65" s="59" t="str">
        <f t="shared" si="1"/>
        <v/>
      </c>
      <c r="I65" s="48" t="str">
        <f t="shared" si="2"/>
        <v/>
      </c>
      <c r="J65" s="54"/>
      <c r="K65" s="60" t="str">
        <f t="shared" si="3"/>
        <v/>
      </c>
      <c r="L65" s="32" t="str">
        <f t="shared" si="4"/>
        <v/>
      </c>
      <c r="M65" s="32" t="str">
        <f t="shared" si="5"/>
        <v/>
      </c>
      <c r="N65" s="55"/>
      <c r="O65" s="66" t="str">
        <f t="shared" si="6"/>
        <v/>
      </c>
      <c r="P65" s="65"/>
      <c r="Q65" s="60" t="str">
        <f t="shared" si="7"/>
        <v/>
      </c>
      <c r="R65" s="32" t="str">
        <f t="shared" si="8"/>
        <v/>
      </c>
      <c r="S65" s="34" t="str">
        <f t="shared" si="9"/>
        <v/>
      </c>
      <c r="T65" s="32" t="str">
        <f t="shared" si="10"/>
        <v/>
      </c>
      <c r="U65" s="32" t="str">
        <f t="shared" si="11"/>
        <v/>
      </c>
      <c r="V65" s="32" t="str">
        <f t="shared" si="12"/>
        <v/>
      </c>
      <c r="W65" s="32" t="str">
        <f t="shared" si="13"/>
        <v/>
      </c>
      <c r="X65" s="32" t="str">
        <f t="shared" si="14"/>
        <v/>
      </c>
      <c r="Y65" s="32" t="str">
        <f t="shared" si="15"/>
        <v/>
      </c>
      <c r="Z65" s="32" t="str">
        <f t="shared" si="16"/>
        <v/>
      </c>
      <c r="AA65" s="32" t="str">
        <f t="shared" si="17"/>
        <v/>
      </c>
      <c r="AB65" s="32" t="str">
        <f t="shared" si="18"/>
        <v/>
      </c>
      <c r="AC65" s="35" t="str">
        <f t="shared" si="19"/>
        <v/>
      </c>
      <c r="AD65" s="32" t="str">
        <f t="shared" si="20"/>
        <v/>
      </c>
      <c r="AE65" s="32" t="str">
        <f t="shared" si="21"/>
        <v/>
      </c>
      <c r="AF65" s="32" t="str">
        <f t="shared" si="22"/>
        <v/>
      </c>
      <c r="AG65" s="32" t="str">
        <f t="shared" si="23"/>
        <v/>
      </c>
      <c r="AH65" s="32" t="str">
        <f t="shared" si="24"/>
        <v/>
      </c>
      <c r="AI65" s="32" t="str">
        <f t="shared" si="25"/>
        <v/>
      </c>
      <c r="AJ65" s="32" t="str">
        <f t="shared" si="26"/>
        <v/>
      </c>
      <c r="AK65" s="61" t="str">
        <f t="shared" si="27"/>
        <v/>
      </c>
      <c r="AL65" s="54"/>
      <c r="AM65" s="60" t="str">
        <f t="shared" si="28"/>
        <v/>
      </c>
      <c r="AN65" s="38"/>
      <c r="AO65" s="32" t="str">
        <f t="shared" si="29"/>
        <v/>
      </c>
      <c r="AP65" s="32" t="str">
        <f t="shared" si="30"/>
        <v/>
      </c>
      <c r="AQ65" s="32" t="str">
        <f t="shared" si="31"/>
        <v/>
      </c>
      <c r="AR65" s="32" t="str">
        <f t="shared" si="32"/>
        <v/>
      </c>
      <c r="AS65" s="32" t="str">
        <f t="shared" si="33"/>
        <v/>
      </c>
      <c r="AT65" s="32" t="str">
        <f t="shared" si="34"/>
        <v/>
      </c>
      <c r="AU65" s="32" t="str">
        <f t="shared" si="35"/>
        <v/>
      </c>
      <c r="AV65" s="32" t="str">
        <f t="shared" si="36"/>
        <v/>
      </c>
      <c r="AW65" s="32" t="str">
        <f t="shared" si="37"/>
        <v/>
      </c>
      <c r="AX65" s="32" t="str">
        <f t="shared" si="38"/>
        <v/>
      </c>
      <c r="AY65" s="32" t="str">
        <f t="shared" si="39"/>
        <v/>
      </c>
      <c r="AZ65" s="32" t="str">
        <f t="shared" si="40"/>
        <v/>
      </c>
      <c r="BA65" s="32" t="str">
        <f t="shared" si="41"/>
        <v/>
      </c>
      <c r="BB65" s="70"/>
      <c r="BC65" s="71" t="str">
        <f t="shared" si="42"/>
        <v/>
      </c>
      <c r="BD65" s="55"/>
      <c r="BE65" s="62" t="str">
        <f t="shared" si="43"/>
        <v/>
      </c>
      <c r="BF65" s="35" t="str">
        <f t="shared" si="44"/>
        <v/>
      </c>
      <c r="BG65" s="38"/>
      <c r="BH65" s="35" t="str">
        <f t="shared" si="45"/>
        <v/>
      </c>
      <c r="BI65" s="35" t="str">
        <f t="shared" si="46"/>
        <v/>
      </c>
      <c r="BJ65" s="38"/>
      <c r="BK65" s="35" t="str">
        <f t="shared" si="47"/>
        <v/>
      </c>
      <c r="BL65" s="35" t="str">
        <f t="shared" si="48"/>
        <v/>
      </c>
      <c r="BM65" s="38"/>
      <c r="BN65" s="35" t="str">
        <f t="shared" si="49"/>
        <v/>
      </c>
      <c r="BO65" s="35" t="str">
        <f t="shared" si="50"/>
        <v/>
      </c>
      <c r="BP65" s="32" t="str">
        <f t="shared" si="51"/>
        <v/>
      </c>
      <c r="BQ65" s="35" t="str">
        <f t="shared" si="52"/>
        <v/>
      </c>
      <c r="BR65" s="37" t="str">
        <f t="shared" si="53"/>
        <v/>
      </c>
      <c r="BS65" s="1"/>
    </row>
    <row r="66" spans="2:71" ht="70.5" customHeight="1" x14ac:dyDescent="0.25">
      <c r="B66" s="63"/>
      <c r="C66" s="64" t="str">
        <f>IFERROR(VLOOKUP(B66,Table_PrewrittenCode[#All],2,0),"")</f>
        <v/>
      </c>
      <c r="D66" s="32" t="str">
        <f>IFERROR(VLOOKUP(B66,Table_PrewrittenCode[#All],3,0),"")</f>
        <v/>
      </c>
      <c r="E66" s="54"/>
      <c r="F66" s="58" t="str">
        <f t="shared" si="0"/>
        <v/>
      </c>
      <c r="G66" s="54"/>
      <c r="H66" s="59" t="str">
        <f t="shared" si="1"/>
        <v/>
      </c>
      <c r="I66" s="48" t="str">
        <f t="shared" si="2"/>
        <v/>
      </c>
      <c r="J66" s="54"/>
      <c r="K66" s="60" t="str">
        <f t="shared" si="3"/>
        <v/>
      </c>
      <c r="L66" s="32" t="str">
        <f t="shared" si="4"/>
        <v/>
      </c>
      <c r="M66" s="32" t="str">
        <f t="shared" si="5"/>
        <v/>
      </c>
      <c r="N66" s="55"/>
      <c r="O66" s="66" t="str">
        <f t="shared" si="6"/>
        <v/>
      </c>
      <c r="P66" s="65"/>
      <c r="Q66" s="60" t="str">
        <f t="shared" si="7"/>
        <v/>
      </c>
      <c r="R66" s="32" t="str">
        <f t="shared" si="8"/>
        <v/>
      </c>
      <c r="S66" s="34" t="str">
        <f t="shared" si="9"/>
        <v/>
      </c>
      <c r="T66" s="32" t="str">
        <f t="shared" si="10"/>
        <v/>
      </c>
      <c r="U66" s="32" t="str">
        <f t="shared" si="11"/>
        <v/>
      </c>
      <c r="V66" s="32" t="str">
        <f t="shared" si="12"/>
        <v/>
      </c>
      <c r="W66" s="32" t="str">
        <f t="shared" si="13"/>
        <v/>
      </c>
      <c r="X66" s="32" t="str">
        <f t="shared" si="14"/>
        <v/>
      </c>
      <c r="Y66" s="32" t="str">
        <f t="shared" si="15"/>
        <v/>
      </c>
      <c r="Z66" s="32" t="str">
        <f t="shared" si="16"/>
        <v/>
      </c>
      <c r="AA66" s="32" t="str">
        <f t="shared" si="17"/>
        <v/>
      </c>
      <c r="AB66" s="32" t="str">
        <f t="shared" si="18"/>
        <v/>
      </c>
      <c r="AC66" s="35" t="str">
        <f t="shared" si="19"/>
        <v/>
      </c>
      <c r="AD66" s="32" t="str">
        <f t="shared" si="20"/>
        <v/>
      </c>
      <c r="AE66" s="32" t="str">
        <f t="shared" si="21"/>
        <v/>
      </c>
      <c r="AF66" s="32" t="str">
        <f t="shared" si="22"/>
        <v/>
      </c>
      <c r="AG66" s="32" t="str">
        <f t="shared" si="23"/>
        <v/>
      </c>
      <c r="AH66" s="32" t="str">
        <f t="shared" si="24"/>
        <v/>
      </c>
      <c r="AI66" s="32" t="str">
        <f t="shared" si="25"/>
        <v/>
      </c>
      <c r="AJ66" s="32" t="str">
        <f t="shared" si="26"/>
        <v/>
      </c>
      <c r="AK66" s="61" t="str">
        <f t="shared" si="27"/>
        <v/>
      </c>
      <c r="AL66" s="54"/>
      <c r="AM66" s="60" t="str">
        <f t="shared" si="28"/>
        <v/>
      </c>
      <c r="AN66" s="38"/>
      <c r="AO66" s="32" t="str">
        <f t="shared" si="29"/>
        <v/>
      </c>
      <c r="AP66" s="32" t="str">
        <f t="shared" si="30"/>
        <v/>
      </c>
      <c r="AQ66" s="32" t="str">
        <f t="shared" si="31"/>
        <v/>
      </c>
      <c r="AR66" s="32" t="str">
        <f t="shared" si="32"/>
        <v/>
      </c>
      <c r="AS66" s="32" t="str">
        <f t="shared" si="33"/>
        <v/>
      </c>
      <c r="AT66" s="32" t="str">
        <f t="shared" si="34"/>
        <v/>
      </c>
      <c r="AU66" s="32" t="str">
        <f t="shared" si="35"/>
        <v/>
      </c>
      <c r="AV66" s="32" t="str">
        <f t="shared" si="36"/>
        <v/>
      </c>
      <c r="AW66" s="32" t="str">
        <f t="shared" si="37"/>
        <v/>
      </c>
      <c r="AX66" s="32" t="str">
        <f t="shared" si="38"/>
        <v/>
      </c>
      <c r="AY66" s="32" t="str">
        <f t="shared" si="39"/>
        <v/>
      </c>
      <c r="AZ66" s="32" t="str">
        <f t="shared" si="40"/>
        <v/>
      </c>
      <c r="BA66" s="32" t="str">
        <f t="shared" si="41"/>
        <v/>
      </c>
      <c r="BB66" s="70"/>
      <c r="BC66" s="71" t="str">
        <f t="shared" si="42"/>
        <v/>
      </c>
      <c r="BD66" s="55"/>
      <c r="BE66" s="62" t="str">
        <f t="shared" si="43"/>
        <v/>
      </c>
      <c r="BF66" s="35" t="str">
        <f t="shared" si="44"/>
        <v/>
      </c>
      <c r="BG66" s="38"/>
      <c r="BH66" s="35" t="str">
        <f t="shared" si="45"/>
        <v/>
      </c>
      <c r="BI66" s="35" t="str">
        <f t="shared" si="46"/>
        <v/>
      </c>
      <c r="BJ66" s="38"/>
      <c r="BK66" s="35" t="str">
        <f t="shared" si="47"/>
        <v/>
      </c>
      <c r="BL66" s="35" t="str">
        <f t="shared" si="48"/>
        <v/>
      </c>
      <c r="BM66" s="38"/>
      <c r="BN66" s="35" t="str">
        <f t="shared" si="49"/>
        <v/>
      </c>
      <c r="BO66" s="35" t="str">
        <f t="shared" si="50"/>
        <v/>
      </c>
      <c r="BP66" s="32" t="str">
        <f t="shared" si="51"/>
        <v/>
      </c>
      <c r="BQ66" s="35" t="str">
        <f t="shared" si="52"/>
        <v/>
      </c>
      <c r="BR66" s="37" t="str">
        <f t="shared" si="53"/>
        <v/>
      </c>
      <c r="BS66" s="1"/>
    </row>
    <row r="67" spans="2:71" ht="70.5" customHeight="1" x14ac:dyDescent="0.25">
      <c r="B67" s="63"/>
      <c r="C67" s="64" t="str">
        <f>IFERROR(VLOOKUP(B67,Table_PrewrittenCode[#All],2,0),"")</f>
        <v/>
      </c>
      <c r="D67" s="32" t="str">
        <f>IFERROR(VLOOKUP(B67,Table_PrewrittenCode[#All],3,0),"")</f>
        <v/>
      </c>
      <c r="E67" s="54"/>
      <c r="F67" s="58" t="str">
        <f t="shared" si="0"/>
        <v/>
      </c>
      <c r="G67" s="54"/>
      <c r="H67" s="59" t="str">
        <f t="shared" si="1"/>
        <v/>
      </c>
      <c r="I67" s="48" t="str">
        <f t="shared" si="2"/>
        <v/>
      </c>
      <c r="J67" s="54"/>
      <c r="K67" s="60" t="str">
        <f t="shared" si="3"/>
        <v/>
      </c>
      <c r="L67" s="32" t="str">
        <f t="shared" si="4"/>
        <v/>
      </c>
      <c r="M67" s="32" t="str">
        <f t="shared" si="5"/>
        <v/>
      </c>
      <c r="N67" s="55"/>
      <c r="O67" s="66" t="str">
        <f t="shared" si="6"/>
        <v/>
      </c>
      <c r="P67" s="65"/>
      <c r="Q67" s="60" t="str">
        <f t="shared" si="7"/>
        <v/>
      </c>
      <c r="R67" s="32" t="str">
        <f t="shared" si="8"/>
        <v/>
      </c>
      <c r="S67" s="34" t="str">
        <f t="shared" si="9"/>
        <v/>
      </c>
      <c r="T67" s="32" t="str">
        <f t="shared" si="10"/>
        <v/>
      </c>
      <c r="U67" s="32" t="str">
        <f t="shared" si="11"/>
        <v/>
      </c>
      <c r="V67" s="32" t="str">
        <f t="shared" si="12"/>
        <v/>
      </c>
      <c r="W67" s="32" t="str">
        <f t="shared" si="13"/>
        <v/>
      </c>
      <c r="X67" s="32" t="str">
        <f t="shared" si="14"/>
        <v/>
      </c>
      <c r="Y67" s="32" t="str">
        <f t="shared" si="15"/>
        <v/>
      </c>
      <c r="Z67" s="32" t="str">
        <f t="shared" si="16"/>
        <v/>
      </c>
      <c r="AA67" s="32" t="str">
        <f t="shared" si="17"/>
        <v/>
      </c>
      <c r="AB67" s="32" t="str">
        <f t="shared" si="18"/>
        <v/>
      </c>
      <c r="AC67" s="35" t="str">
        <f t="shared" si="19"/>
        <v/>
      </c>
      <c r="AD67" s="32" t="str">
        <f t="shared" si="20"/>
        <v/>
      </c>
      <c r="AE67" s="32" t="str">
        <f t="shared" si="21"/>
        <v/>
      </c>
      <c r="AF67" s="32" t="str">
        <f t="shared" si="22"/>
        <v/>
      </c>
      <c r="AG67" s="32" t="str">
        <f t="shared" si="23"/>
        <v/>
      </c>
      <c r="AH67" s="32" t="str">
        <f t="shared" si="24"/>
        <v/>
      </c>
      <c r="AI67" s="32" t="str">
        <f t="shared" si="25"/>
        <v/>
      </c>
      <c r="AJ67" s="32" t="str">
        <f t="shared" si="26"/>
        <v/>
      </c>
      <c r="AK67" s="61" t="str">
        <f t="shared" si="27"/>
        <v/>
      </c>
      <c r="AL67" s="54"/>
      <c r="AM67" s="60" t="str">
        <f t="shared" si="28"/>
        <v/>
      </c>
      <c r="AN67" s="38"/>
      <c r="AO67" s="32" t="str">
        <f t="shared" si="29"/>
        <v/>
      </c>
      <c r="AP67" s="32" t="str">
        <f t="shared" si="30"/>
        <v/>
      </c>
      <c r="AQ67" s="32" t="str">
        <f t="shared" si="31"/>
        <v/>
      </c>
      <c r="AR67" s="32" t="str">
        <f t="shared" si="32"/>
        <v/>
      </c>
      <c r="AS67" s="32" t="str">
        <f t="shared" si="33"/>
        <v/>
      </c>
      <c r="AT67" s="32" t="str">
        <f t="shared" si="34"/>
        <v/>
      </c>
      <c r="AU67" s="32" t="str">
        <f t="shared" si="35"/>
        <v/>
      </c>
      <c r="AV67" s="32" t="str">
        <f t="shared" si="36"/>
        <v/>
      </c>
      <c r="AW67" s="32" t="str">
        <f t="shared" si="37"/>
        <v/>
      </c>
      <c r="AX67" s="32" t="str">
        <f t="shared" si="38"/>
        <v/>
      </c>
      <c r="AY67" s="32" t="str">
        <f t="shared" si="39"/>
        <v/>
      </c>
      <c r="AZ67" s="32" t="str">
        <f t="shared" si="40"/>
        <v/>
      </c>
      <c r="BA67" s="32" t="str">
        <f t="shared" si="41"/>
        <v/>
      </c>
      <c r="BB67" s="70"/>
      <c r="BC67" s="71" t="str">
        <f t="shared" si="42"/>
        <v/>
      </c>
      <c r="BD67" s="55"/>
      <c r="BE67" s="62" t="str">
        <f t="shared" si="43"/>
        <v/>
      </c>
      <c r="BF67" s="35" t="str">
        <f t="shared" si="44"/>
        <v/>
      </c>
      <c r="BG67" s="38"/>
      <c r="BH67" s="35" t="str">
        <f t="shared" si="45"/>
        <v/>
      </c>
      <c r="BI67" s="35" t="str">
        <f t="shared" si="46"/>
        <v/>
      </c>
      <c r="BJ67" s="38"/>
      <c r="BK67" s="35" t="str">
        <f t="shared" si="47"/>
        <v/>
      </c>
      <c r="BL67" s="35" t="str">
        <f t="shared" si="48"/>
        <v/>
      </c>
      <c r="BM67" s="38"/>
      <c r="BN67" s="35" t="str">
        <f t="shared" si="49"/>
        <v/>
      </c>
      <c r="BO67" s="35" t="str">
        <f t="shared" si="50"/>
        <v/>
      </c>
      <c r="BP67" s="32" t="str">
        <f t="shared" si="51"/>
        <v/>
      </c>
      <c r="BQ67" s="35" t="str">
        <f t="shared" si="52"/>
        <v/>
      </c>
      <c r="BR67" s="37" t="str">
        <f t="shared" si="53"/>
        <v/>
      </c>
      <c r="BS67" s="1"/>
    </row>
    <row r="68" spans="2:71" ht="70.5" customHeight="1" x14ac:dyDescent="0.25">
      <c r="B68" s="63"/>
      <c r="C68" s="64" t="str">
        <f>IFERROR(VLOOKUP(B68,Table_PrewrittenCode[#All],2,0),"")</f>
        <v/>
      </c>
      <c r="D68" s="32" t="str">
        <f>IFERROR(VLOOKUP(B68,Table_PrewrittenCode[#All],3,0),"")</f>
        <v/>
      </c>
      <c r="E68" s="54"/>
      <c r="F68" s="58" t="str">
        <f t="shared" ref="F68" si="54">IF(E68="",$C68,SUBSTITUTE($C68,"!InputTitleHere",$E68))</f>
        <v/>
      </c>
      <c r="G68" s="54"/>
      <c r="H68" s="59" t="str">
        <f t="shared" ref="H68" si="55">CLEAN(G68)</f>
        <v/>
      </c>
      <c r="I68" s="48" t="str">
        <f t="shared" ref="I68" si="56">IF($H68="",$F68,SUBSTITUTE($F68,"!InputHTMLHere",IF(LEN(H68)&lt;900,$H68,_xlfn.CONCAT(LEFT(H68,900),"... HTML truncated. View full HTML on MacroCreation worksheet."))))</f>
        <v/>
      </c>
      <c r="J68" s="54"/>
      <c r="K68" s="60" t="str">
        <f t="shared" ref="K68:K99" si="57">IF($J68="",$I68,SUBSTITUTE($I68,"!InputDesiredWebsite",SUBSTITUTE($J68,CHAR(34),CHAR(34) &amp; CHAR(34))))</f>
        <v/>
      </c>
      <c r="L68" s="32" t="str">
        <f t="shared" ref="L68:L87" si="58">IF(ISNUMBER(SEARCH("onchange=",G68)),"onchange",IF(ISNUMBER(SEARCH("onsubmit=",G68)),"onsubmit",IF(ISNUMBER(SEARCH("onclick=",G68)),"onclick",IF(ISNUMBER(SEARCH("onselect=",G68)),"onselect",IF(ISNUMBER(SEARCH("onfocus=",G68)),"onfocus",IF(ISNUMBER(SEARCH("onblur",G68)),"onblur",""))))))</f>
        <v/>
      </c>
      <c r="M68" s="32" t="str">
        <f t="shared" ref="M68:M87" si="59">IF(L68&lt;&gt;"",SUBSTITUTE(K68,"!InputJavascriptEventHere",L68),K68)</f>
        <v/>
      </c>
      <c r="N68" s="55"/>
      <c r="O68" s="66" t="str">
        <f t="shared" si="6"/>
        <v/>
      </c>
      <c r="P68" s="65"/>
      <c r="Q68" s="60" t="str">
        <f t="shared" ref="Q68:Q99" si="60">SUBSTITUTE($O68,"!InputOnlyTextHere",$P68)</f>
        <v/>
      </c>
      <c r="R68" s="32" t="str">
        <f t="shared" ref="R68:R99" si="61">IF($N68&lt;&gt;"",SUBSTITUTE($Q68,"!InputTextHere",$N68),IF($P68="",$Q68,SUBSTITUTE($Q68,"!InputTextHere",_xlfn.CONCAT(CHAR(34),$P68,CHAR(34)))))</f>
        <v/>
      </c>
      <c r="S68" s="34" t="str">
        <f t="shared" ref="S68:S99" si="62">IFERROR(MID($H68,2,SEARCH(" ",$H68,1)-2),"")</f>
        <v/>
      </c>
      <c r="T68" s="32" t="str">
        <f t="shared" ref="T68:T99" si="63">IFERROR(IF($H68="","",CONCATENATE(LEFT(REPLACE($H68,1,SEARCH(" ID=",$H68)+LEN(" ID="),""),SEARCH("""",REPLACE($H68,1,SEARCH(" ID=",$H68)+LEN(" ID="),""))-1))),"")</f>
        <v/>
      </c>
      <c r="U68" s="32" t="str">
        <f t="shared" ref="U68:U99" si="64">IFERROR(IF($H68="","",CONCATENATE(LEFT(REPLACE($H68,1,SEARCH(" Name=",$H68)+LEN(" Name="),""),SEARCH("""",REPLACE($H68,1,SEARCH(" Name=",$H68)+LEN(" Name="),""))-1))),"")</f>
        <v/>
      </c>
      <c r="V68" s="32" t="str">
        <f t="shared" ref="V68:V99" si="65">IFERROR(IF($H68="","",CONCATENATE(LEFT(REPLACE($H68,1,SEARCH(" Class=",$H68)+LEN(" Class="),""),SEARCH("""",REPLACE($H68,1,SEARCH(" Class=",$H68)+LEN(" Class="),""))-1))),"")</f>
        <v/>
      </c>
      <c r="W68" s="32" t="str">
        <f t="shared" ref="W68:W99" si="66">IFERROR(LEFT(REPLACE($H68,1,SEARCH(" Classname=",$H68)+LEN(" Classname="),""),SEARCH("""",REPLACE($H68,1,SEARCH(" Classname=",$H68)+LEN(" Classname="),""))-1),"")</f>
        <v/>
      </c>
      <c r="X68" s="32" t="str">
        <f t="shared" ref="X68:X99" si="67">IFERROR(MID($H68,FIND("&gt;",$H68)+1,FIND("&lt;",$H68,2)-FIND("&gt;",$H68)-1),"")</f>
        <v/>
      </c>
      <c r="Y68" s="32" t="str">
        <f t="shared" ref="Y68:Y99" si="68">IFERROR(LEFT(REPLACE($H68,1,SEARCH(" Title=",$H68)+LEN(" Title="),""),SEARCH("""",REPLACE($H68,1,SEARCH(" Title=",$H68)+LEN(" Title="),""))-1),"")</f>
        <v/>
      </c>
      <c r="Z68" s="32" t="str">
        <f t="shared" ref="Z68:Z87" si="69">IFERROR(LEFT(REPLACE(G68,1,SEARCH(" Value=",G68)+LEN(" Value="),""),SEARCH("""",REPLACE(G68,1,SEARCH(" Value=",G68)+LEN(" Value="),""))-1),"")</f>
        <v/>
      </c>
      <c r="AA68" s="32" t="str">
        <f t="shared" ref="AA68:AA99" si="70">IFERROR(LEFT(REPLACE($H68,1,SEARCH(" TabIndex=",$H68)+LEN(" TabIndex="),""),SEARCH("""",REPLACE($H68,1,SEARCH(" TabIndex=",$H68)+LEN(" TabIndex="),""))-1),"")</f>
        <v/>
      </c>
      <c r="AB68" s="32" t="str">
        <f t="shared" ref="AB68:AB84" si="71">IF(T68="","",CONCATENATE("Ele.ID Like ",CHAR(34), T68, CHAR(34)))</f>
        <v/>
      </c>
      <c r="AC68" s="35" t="str">
        <f t="shared" ref="AC68:AC84" si="72">IF(X68="","",CONCATENATE("Ele.innerHTML Like ",CHAR(34),X68,CHAR(34)))</f>
        <v/>
      </c>
      <c r="AD68" s="32" t="str">
        <f t="shared" ref="AD68:AD84" si="73">IF(U68="","",CONCATENATE("Ele.Name Like ",CHAR(34),U68,CHAR(34)))</f>
        <v/>
      </c>
      <c r="AE68" s="32" t="str">
        <f t="shared" ref="AE68:AE84" si="74">IF(Y68="","",CONCATENATE("Ele.Title Like ",CHAR(34),Y68,CHAR(34)))</f>
        <v/>
      </c>
      <c r="AF68" s="32" t="str">
        <f t="shared" ref="AF68:AF84" si="75">IF(Z68="","",CONCATENATE("Ele.Value Like ",CHAR(34),Z68,CHAR(34)))</f>
        <v/>
      </c>
      <c r="AG68" s="32" t="str">
        <f t="shared" ref="AG68:AG84" si="76">IF(AA68="","",CONCATENATE("Ele.TabIndex Like ",CHAR(34),AA68,CHAR(34)))</f>
        <v/>
      </c>
      <c r="AH68" s="32" t="str">
        <f t="shared" ref="AH68:AH87" si="77">IF(V68="","",CONCATENATE("Ele.ClassName Like ",CHAR(34),V68,CHAR(34)))</f>
        <v/>
      </c>
      <c r="AI68" s="32" t="str">
        <f t="shared" ref="AI68:AI84" si="78">IF(W68="","",CONCATENATE("Ele.Classname Like ",CHAR(34),W68,CHAR(34)))</f>
        <v/>
      </c>
      <c r="AJ68" s="32" t="str">
        <f t="shared" ref="AJ68:AJ87" si="79">IF(OR(B68="Enter Text",B68="Click Button",B68="Select Option"),IF(AB68&lt;&gt;"",AB68,IF(AD68&lt;&gt;"",AD68,IF(AE68&lt;&gt;"",AE68,IF(AF68&lt;&gt;"",AF68,IF(AH68&lt;&gt;"",AH68,IF(AI68&lt;&gt;"",AI68,IF(AG68&lt;&gt;"",AG68,IF(AC68&lt;&gt;"",AC68,"")))))))),"")</f>
        <v/>
      </c>
      <c r="AK68" s="61" t="str">
        <f t="shared" ref="AK68:AK87" si="80">AJ68</f>
        <v/>
      </c>
      <c r="AL68" s="54"/>
      <c r="AM68" s="60" t="str">
        <f t="shared" ref="AM68:AM84" si="81">IF(ISBLANK($AK68),"",IF(ISBLANK($AL68),$AK68,CONCATENATE($AK68, " And ", $AL68)))</f>
        <v/>
      </c>
      <c r="AN68" s="38"/>
      <c r="AO68" s="32" t="str">
        <f t="shared" ref="AO68:AO84" si="82">IF(ISBLANK($AN68),IF($AM68="","",CONCATENATE($AM68)),CONCATENATE($AM68, " And ", $AN68))</f>
        <v/>
      </c>
      <c r="AP68" s="32" t="str">
        <f t="shared" ref="AP68:AP84" si="83">IF(T68&lt;&gt;"","GetElementbyID"&amp;CHAR(40) &amp; CHAR(34) &amp; T68 &amp; CHAR(34) &amp; CHAR(41),IF(V68&lt;&gt;"","GetElementsbyClassName"&amp;CHAR(40) &amp; CHAR(34) &amp; V68 &amp; CHAR(34) &amp; CHAR(41),IF(U68&lt;&gt;"","GetElementsbyName"&amp;CHAR(40) &amp; CHAR(34) &amp; U68 &amp; CHAR(34) &amp; CHAR(41),IF(S68&lt;&gt;"","GetElementsbyTagName"&amp;CHAR(40) &amp; CHAR(34) &amp; S68 &amp; CHAR(34) &amp; CHAR(41),""))))</f>
        <v/>
      </c>
      <c r="AQ68" s="32" t="str">
        <f t="shared" ref="AQ68:AQ87" si="84">IF(T68&lt;&gt;"","GetElementbyID"&amp;CHAR(40)&amp;CHAR(34)&amp;T68&amp;CHAR(34)&amp;CHAR(41),IF(S68&lt;&gt;"","GetElementsbyTagName"&amp;CHAR(40)&amp;CHAR(34)&amp;S68&amp;CHAR(34)&amp;CHAR(41),""))</f>
        <v/>
      </c>
      <c r="AR68" s="32" t="str">
        <f t="shared" ref="AR68:AR99" si="85">IF($AP68="",$R68,SUBSTITUTE($R68,"!InputMostSpecificSelectorHere",$AP68))</f>
        <v/>
      </c>
      <c r="AS68" s="32" t="str">
        <f t="shared" ref="AS68:AS87" si="86">IF(AQ68="",AR68,SUBSTITUTE(AR68,"!InputMostSpecificOptionSelectorHere",AQ68))</f>
        <v/>
      </c>
      <c r="AT68" s="32" t="str">
        <f t="shared" ref="AT68:AT87" si="87">IF(ISNUMBER(SEARCH("GetElementbyID",AQ68)),SUBSTITUTE(AS68,"!InputTagorIDElementWithorWithoutOptionsHere","TagorIDElement.Options"),IF(ISNUMBER(SEARCH("GetElementsbyTagName",AQ68)),SUBSTITUTE(AS68,"!InputTagorIDElementWithorWithoutOptionsHere","TagorIDElement"),AS68))</f>
        <v/>
      </c>
      <c r="AU68" s="32" t="str">
        <f t="shared" ref="AU68:AU87" si="88">IF(ISNUMBER(SEARCH("GetElementbyID",AQ68)),SUBSTITUTE(AT68,"!InputOptionforIDorOptionSelectorsHere1","If !InputOptionSelection(s)Here Then"),IF(ISNUMBER(SEARCH("GetElementsbyTagName",AQ68)),SUBSTITUTE(AT68,"!InputOptionforIDorOptionSelectorsHere1","If !InputElementSelector(s)Here Then"),AT68))</f>
        <v/>
      </c>
      <c r="AV68" s="32" t="str">
        <f t="shared" ref="AV68:AV87" si="89">IF(ISNUMBER(SEARCH("GetElementbyID",AQ68)),SUBSTITUTE(AU68,"!InputOptionsforIDorOptionSelectorsHere2","'Next line"),IF(ISNUMBER(SEARCH("GetElementsbyTagName",AQ68)),SUBSTITUTE(AU68,"!InputOptionsforIDorOptionSelectorsHere2","!InputOptionSelection(s)Here"),AU68))</f>
        <v/>
      </c>
      <c r="AW68" s="32" t="str">
        <f t="shared" ref="AW68:AW99" si="90">IF($S68="",$AV68,SUBSTITUTE($AV68,"!InputTagNameHere",$S68))</f>
        <v/>
      </c>
      <c r="AX68" s="32" t="str">
        <f t="shared" ref="AX68:AX99" si="91">IF($T68="",$AW68,SUBSTITUTE($AW68,"!InputElementIDHere",$T68))</f>
        <v/>
      </c>
      <c r="AY68" s="32" t="str">
        <f t="shared" ref="AY68:AY99" si="92">IF($U68="",$AX68,SUBSTITUTE($AX68,"!InputElementNameHere",$U68))</f>
        <v/>
      </c>
      <c r="AZ68" s="32" t="str">
        <f t="shared" ref="AZ68:AZ99" si="93">IF($V68="",$AY68,SUBSTITUTE($AY68,"!InputElementClassHere",$V68))</f>
        <v/>
      </c>
      <c r="BA68" s="32" t="str">
        <f t="shared" ref="BA68:BA99" si="94">IF($AO68="",$AZ68,SUBSTITUTE($AZ68,"!InputElementSelector(s)Here",$AO68))</f>
        <v/>
      </c>
      <c r="BB68" s="70"/>
      <c r="BC68" s="71" t="str">
        <f t="shared" ref="BC68:BC84" si="95">IF(BB68="","",CONCATENATE("Ele.Value = " &amp; CHAR(34), BB68 &amp;CHAR(34)))</f>
        <v/>
      </c>
      <c r="BD68" s="55"/>
      <c r="BE68" s="62" t="str">
        <f t="shared" ref="BE68:BE84" si="96">IF(BD68="","",CONCATENATE("            Ele.Value = " &amp; CHAR(34), BD68 &amp;CHAR(34)))</f>
        <v/>
      </c>
      <c r="BF68" s="35" t="str">
        <f t="shared" ref="BF68:BF84" si="97">IF($BE68="",$BC68,CONCATENATE(BC68, CHAR(10),BE68))</f>
        <v/>
      </c>
      <c r="BG68" s="38"/>
      <c r="BH68" s="35" t="str">
        <f t="shared" ref="BH68:BH84" si="98">IF(BG68="","",CONCATENATE("            Ele.Value = " &amp; CHAR(34), BG68 &amp;CHAR(34)))</f>
        <v/>
      </c>
      <c r="BI68" s="35" t="str">
        <f t="shared" ref="BI68:BI84" si="99">IF($BH68="",$BF68,CONCATENATE(BF68, CHAR(10),BH68))</f>
        <v/>
      </c>
      <c r="BJ68" s="38"/>
      <c r="BK68" s="35" t="str">
        <f t="shared" ref="BK68:BK84" si="100">IF(BJ68="","",CONCATENATE("            Ele.Value = " &amp; CHAR(34), BJ68 &amp;CHAR(34)))</f>
        <v/>
      </c>
      <c r="BL68" s="35" t="str">
        <f t="shared" ref="BL68:BL84" si="101">IF($BJ68="",$BI68,CONCATENATE(BI68, CHAR(10),BK68))</f>
        <v/>
      </c>
      <c r="BM68" s="38"/>
      <c r="BN68" s="35" t="str">
        <f t="shared" ref="BN68:BN84" si="102">IF(BM68="","",CONCATENATE("            Ele.Value = " &amp; CHAR(34), BM68 &amp;CHAR(34)))</f>
        <v/>
      </c>
      <c r="BO68" s="35" t="str">
        <f t="shared" ref="BO68:BO84" si="103">IF($BN68="",$BL68,CONCATENATE(BL68, CHAR(10),BN68))</f>
        <v/>
      </c>
      <c r="BP68" s="32" t="str">
        <f t="shared" ref="BP68:BP99" si="104">IF($BO68="",$BA68,SUBSTITUTE($BA68,"!InputOptionSelection(s)Here",$BO68))</f>
        <v/>
      </c>
      <c r="BQ68" s="35" t="str">
        <f t="shared" ref="BQ68:BQ84" si="105">SUBSTITUTE($BP68,"!InputStepNumberHere",ROW()-3)</f>
        <v/>
      </c>
      <c r="BR68" s="37" t="str">
        <f t="shared" si="53"/>
        <v/>
      </c>
      <c r="BS68" s="1"/>
    </row>
    <row r="69" spans="2:71" ht="70.5" customHeight="1" x14ac:dyDescent="0.25">
      <c r="B69" s="63"/>
      <c r="C69" s="31" t="str">
        <f>IFERROR(VLOOKUP(B69,Table_PrewrittenCode[#All],2,0),"")</f>
        <v/>
      </c>
      <c r="D69" s="32" t="str">
        <f>IFERROR(VLOOKUP(B69,Table_PrewrittenCode[#All],3,0),"")</f>
        <v/>
      </c>
      <c r="E69" s="53"/>
      <c r="F69" s="39" t="str">
        <f t="shared" ref="F69:F87" si="106">IF(E69="",$C69,SUBSTITUTE($C69,"!InputTitleHere",$E69))</f>
        <v/>
      </c>
      <c r="G69" s="54"/>
      <c r="H69" s="29" t="str">
        <f t="shared" ref="H69:H87" si="107">CLEAN(G69)</f>
        <v/>
      </c>
      <c r="I69" s="30" t="str">
        <f t="shared" ref="I69:I87" si="108">IF($H69="",$F69,SUBSTITUTE($F69,"!InputHTMLHere",IF(LEN(H69)&lt;900,$H69,_xlfn.CONCAT(LEFT(H69,900),"... HTML truncated. View full HTML on MacroCreation worksheet."))))</f>
        <v/>
      </c>
      <c r="J69" s="54"/>
      <c r="K69" s="31" t="str">
        <f t="shared" si="57"/>
        <v/>
      </c>
      <c r="L69" s="32" t="str">
        <f t="shared" si="58"/>
        <v/>
      </c>
      <c r="M69" s="33" t="str">
        <f t="shared" si="59"/>
        <v/>
      </c>
      <c r="N69" s="55"/>
      <c r="O69" s="66" t="str">
        <f t="shared" ref="O69:O99" si="109">IF(B69="Select Option",IF($N69="",SUBSTITUTE($M69,"!InputSelectedIndex",""),SUBSTITUTE($M69,"!InputSelectedIndex","Ele.SelectedIndex = " &amp; $N69 &amp; ":")),IF($N69="",$M69,SUBSTITUTE($M69,"!InputVariableHere",$N69)))</f>
        <v/>
      </c>
      <c r="P69" s="65"/>
      <c r="Q69" s="31" t="str">
        <f t="shared" si="60"/>
        <v/>
      </c>
      <c r="R69" s="32" t="str">
        <f t="shared" si="61"/>
        <v/>
      </c>
      <c r="S69" s="34" t="str">
        <f t="shared" si="62"/>
        <v/>
      </c>
      <c r="T69" s="34" t="str">
        <f t="shared" si="63"/>
        <v/>
      </c>
      <c r="U69" s="34" t="str">
        <f t="shared" si="64"/>
        <v/>
      </c>
      <c r="V69" s="34" t="str">
        <f t="shared" si="65"/>
        <v/>
      </c>
      <c r="W69" s="34" t="str">
        <f t="shared" si="66"/>
        <v/>
      </c>
      <c r="X69" s="34" t="str">
        <f t="shared" si="67"/>
        <v/>
      </c>
      <c r="Y69" s="34" t="str">
        <f t="shared" si="68"/>
        <v/>
      </c>
      <c r="Z69" s="34" t="str">
        <f t="shared" si="69"/>
        <v/>
      </c>
      <c r="AA69" s="34" t="str">
        <f t="shared" si="70"/>
        <v/>
      </c>
      <c r="AB69" s="32" t="str">
        <f t="shared" si="71"/>
        <v/>
      </c>
      <c r="AC69" s="35" t="str">
        <f t="shared" si="72"/>
        <v/>
      </c>
      <c r="AD69" s="32" t="str">
        <f t="shared" si="73"/>
        <v/>
      </c>
      <c r="AE69" s="32" t="str">
        <f t="shared" si="74"/>
        <v/>
      </c>
      <c r="AF69" s="32" t="str">
        <f t="shared" si="75"/>
        <v/>
      </c>
      <c r="AG69" s="32" t="str">
        <f t="shared" si="76"/>
        <v/>
      </c>
      <c r="AH69" s="35" t="str">
        <f t="shared" si="77"/>
        <v/>
      </c>
      <c r="AI69" s="32" t="str">
        <f t="shared" si="78"/>
        <v/>
      </c>
      <c r="AJ69" s="35" t="str">
        <f t="shared" si="79"/>
        <v/>
      </c>
      <c r="AK69" s="53" t="str">
        <f t="shared" si="80"/>
        <v/>
      </c>
      <c r="AL69" s="54"/>
      <c r="AM69" s="29" t="str">
        <f t="shared" si="81"/>
        <v/>
      </c>
      <c r="AN69" s="38"/>
      <c r="AO69" s="48" t="str">
        <f t="shared" si="82"/>
        <v/>
      </c>
      <c r="AP69" s="48" t="str">
        <f t="shared" si="83"/>
        <v/>
      </c>
      <c r="AQ69" s="48" t="str">
        <f t="shared" si="84"/>
        <v/>
      </c>
      <c r="AR69" s="48" t="str">
        <f t="shared" si="85"/>
        <v/>
      </c>
      <c r="AS69" s="48" t="str">
        <f t="shared" si="86"/>
        <v/>
      </c>
      <c r="AT69" s="48" t="str">
        <f t="shared" si="87"/>
        <v/>
      </c>
      <c r="AU69" s="48" t="str">
        <f t="shared" si="88"/>
        <v/>
      </c>
      <c r="AV69" s="48" t="str">
        <f t="shared" si="89"/>
        <v/>
      </c>
      <c r="AW69" s="48" t="str">
        <f t="shared" si="90"/>
        <v/>
      </c>
      <c r="AX69" s="48" t="str">
        <f t="shared" si="91"/>
        <v/>
      </c>
      <c r="AY69" s="48" t="str">
        <f t="shared" si="92"/>
        <v/>
      </c>
      <c r="AZ69" s="48" t="str">
        <f t="shared" si="93"/>
        <v/>
      </c>
      <c r="BA69" s="48" t="str">
        <f t="shared" si="94"/>
        <v/>
      </c>
      <c r="BB69" s="69"/>
      <c r="BC69" s="68" t="str">
        <f t="shared" si="95"/>
        <v/>
      </c>
      <c r="BD69" s="55"/>
      <c r="BE69" s="36" t="str">
        <f t="shared" si="96"/>
        <v/>
      </c>
      <c r="BF69" s="35" t="str">
        <f t="shared" si="97"/>
        <v/>
      </c>
      <c r="BG69" s="38"/>
      <c r="BH69" s="36" t="str">
        <f t="shared" si="98"/>
        <v/>
      </c>
      <c r="BI69" s="35" t="str">
        <f t="shared" si="99"/>
        <v/>
      </c>
      <c r="BJ69" s="38"/>
      <c r="BK69" s="36" t="str">
        <f t="shared" si="100"/>
        <v/>
      </c>
      <c r="BL69" s="35" t="str">
        <f t="shared" si="101"/>
        <v/>
      </c>
      <c r="BM69" s="38"/>
      <c r="BN69" s="36" t="str">
        <f t="shared" si="102"/>
        <v/>
      </c>
      <c r="BO69" s="35" t="str">
        <f t="shared" si="103"/>
        <v/>
      </c>
      <c r="BP69" s="35" t="str">
        <f t="shared" si="104"/>
        <v/>
      </c>
      <c r="BQ69" s="35" t="str">
        <f t="shared" si="105"/>
        <v/>
      </c>
      <c r="BR69" s="37" t="str">
        <f t="shared" si="53"/>
        <v/>
      </c>
      <c r="BS69" s="1"/>
    </row>
    <row r="70" spans="2:71" ht="70.5" customHeight="1" x14ac:dyDescent="0.25">
      <c r="B70" s="63"/>
      <c r="C70" s="31" t="str">
        <f>IFERROR(VLOOKUP(B70,Table_PrewrittenCode[#All],2,0),"")</f>
        <v/>
      </c>
      <c r="D70" s="32" t="str">
        <f>IFERROR(VLOOKUP(B70,Table_PrewrittenCode[#All],3,0),"")</f>
        <v/>
      </c>
      <c r="E70" s="53"/>
      <c r="F70" s="39" t="str">
        <f t="shared" si="106"/>
        <v/>
      </c>
      <c r="G70" s="54"/>
      <c r="H70" s="29" t="str">
        <f t="shared" si="107"/>
        <v/>
      </c>
      <c r="I70" s="30" t="str">
        <f t="shared" si="108"/>
        <v/>
      </c>
      <c r="J70" s="54"/>
      <c r="K70" s="31" t="str">
        <f t="shared" si="57"/>
        <v/>
      </c>
      <c r="L70" s="32" t="str">
        <f t="shared" si="58"/>
        <v/>
      </c>
      <c r="M70" s="33" t="str">
        <f t="shared" si="59"/>
        <v/>
      </c>
      <c r="N70" s="55"/>
      <c r="O70" s="66" t="str">
        <f t="shared" si="109"/>
        <v/>
      </c>
      <c r="P70" s="65"/>
      <c r="Q70" s="31" t="str">
        <f t="shared" si="60"/>
        <v/>
      </c>
      <c r="R70" s="32" t="str">
        <f t="shared" si="61"/>
        <v/>
      </c>
      <c r="S70" s="34" t="str">
        <f t="shared" si="62"/>
        <v/>
      </c>
      <c r="T70" s="34" t="str">
        <f t="shared" si="63"/>
        <v/>
      </c>
      <c r="U70" s="34" t="str">
        <f t="shared" si="64"/>
        <v/>
      </c>
      <c r="V70" s="34" t="str">
        <f t="shared" si="65"/>
        <v/>
      </c>
      <c r="W70" s="34" t="str">
        <f t="shared" si="66"/>
        <v/>
      </c>
      <c r="X70" s="34" t="str">
        <f t="shared" si="67"/>
        <v/>
      </c>
      <c r="Y70" s="34" t="str">
        <f t="shared" si="68"/>
        <v/>
      </c>
      <c r="Z70" s="34" t="str">
        <f t="shared" si="69"/>
        <v/>
      </c>
      <c r="AA70" s="34" t="str">
        <f t="shared" si="70"/>
        <v/>
      </c>
      <c r="AB70" s="32" t="str">
        <f t="shared" si="71"/>
        <v/>
      </c>
      <c r="AC70" s="35" t="str">
        <f t="shared" si="72"/>
        <v/>
      </c>
      <c r="AD70" s="32" t="str">
        <f t="shared" si="73"/>
        <v/>
      </c>
      <c r="AE70" s="32" t="str">
        <f t="shared" si="74"/>
        <v/>
      </c>
      <c r="AF70" s="32" t="str">
        <f t="shared" si="75"/>
        <v/>
      </c>
      <c r="AG70" s="32" t="str">
        <f t="shared" si="76"/>
        <v/>
      </c>
      <c r="AH70" s="35" t="str">
        <f t="shared" si="77"/>
        <v/>
      </c>
      <c r="AI70" s="32" t="str">
        <f t="shared" si="78"/>
        <v/>
      </c>
      <c r="AJ70" s="35" t="str">
        <f t="shared" si="79"/>
        <v/>
      </c>
      <c r="AK70" s="53" t="str">
        <f t="shared" si="80"/>
        <v/>
      </c>
      <c r="AL70" s="54"/>
      <c r="AM70" s="29" t="str">
        <f t="shared" si="81"/>
        <v/>
      </c>
      <c r="AN70" s="38"/>
      <c r="AO70" s="48" t="str">
        <f t="shared" si="82"/>
        <v/>
      </c>
      <c r="AP70" s="48" t="str">
        <f t="shared" si="83"/>
        <v/>
      </c>
      <c r="AQ70" s="48" t="str">
        <f t="shared" si="84"/>
        <v/>
      </c>
      <c r="AR70" s="48" t="str">
        <f t="shared" si="85"/>
        <v/>
      </c>
      <c r="AS70" s="48" t="str">
        <f t="shared" si="86"/>
        <v/>
      </c>
      <c r="AT70" s="48" t="str">
        <f t="shared" si="87"/>
        <v/>
      </c>
      <c r="AU70" s="48" t="str">
        <f t="shared" si="88"/>
        <v/>
      </c>
      <c r="AV70" s="48" t="str">
        <f t="shared" si="89"/>
        <v/>
      </c>
      <c r="AW70" s="48" t="str">
        <f t="shared" si="90"/>
        <v/>
      </c>
      <c r="AX70" s="48" t="str">
        <f t="shared" si="91"/>
        <v/>
      </c>
      <c r="AY70" s="48" t="str">
        <f t="shared" si="92"/>
        <v/>
      </c>
      <c r="AZ70" s="48" t="str">
        <f t="shared" si="93"/>
        <v/>
      </c>
      <c r="BA70" s="48" t="str">
        <f t="shared" si="94"/>
        <v/>
      </c>
      <c r="BB70" s="69"/>
      <c r="BC70" s="68" t="str">
        <f t="shared" si="95"/>
        <v/>
      </c>
      <c r="BD70" s="55"/>
      <c r="BE70" s="36" t="str">
        <f t="shared" si="96"/>
        <v/>
      </c>
      <c r="BF70" s="35" t="str">
        <f t="shared" si="97"/>
        <v/>
      </c>
      <c r="BG70" s="38"/>
      <c r="BH70" s="36" t="str">
        <f t="shared" si="98"/>
        <v/>
      </c>
      <c r="BI70" s="35" t="str">
        <f t="shared" si="99"/>
        <v/>
      </c>
      <c r="BJ70" s="38"/>
      <c r="BK70" s="36" t="str">
        <f t="shared" si="100"/>
        <v/>
      </c>
      <c r="BL70" s="35" t="str">
        <f t="shared" si="101"/>
        <v/>
      </c>
      <c r="BM70" s="38"/>
      <c r="BN70" s="36" t="str">
        <f t="shared" si="102"/>
        <v/>
      </c>
      <c r="BO70" s="35" t="str">
        <f t="shared" si="103"/>
        <v/>
      </c>
      <c r="BP70" s="35" t="str">
        <f t="shared" si="104"/>
        <v/>
      </c>
      <c r="BQ70" s="35" t="str">
        <f t="shared" si="105"/>
        <v/>
      </c>
      <c r="BR70" s="37" t="str">
        <f t="shared" si="53"/>
        <v/>
      </c>
      <c r="BS70" s="1"/>
    </row>
    <row r="71" spans="2:71" ht="70.5" customHeight="1" x14ac:dyDescent="0.25">
      <c r="B71" s="63"/>
      <c r="C71" s="31" t="str">
        <f>IFERROR(VLOOKUP(B71,Table_PrewrittenCode[#All],2,0),"")</f>
        <v/>
      </c>
      <c r="D71" s="32" t="str">
        <f>IFERROR(VLOOKUP(B71,Table_PrewrittenCode[#All],3,0),"")</f>
        <v/>
      </c>
      <c r="E71" s="53"/>
      <c r="F71" s="39" t="str">
        <f t="shared" si="106"/>
        <v/>
      </c>
      <c r="G71" s="54"/>
      <c r="H71" s="29" t="str">
        <f t="shared" si="107"/>
        <v/>
      </c>
      <c r="I71" s="30" t="str">
        <f t="shared" si="108"/>
        <v/>
      </c>
      <c r="J71" s="54"/>
      <c r="K71" s="31" t="str">
        <f t="shared" si="57"/>
        <v/>
      </c>
      <c r="L71" s="32" t="str">
        <f t="shared" si="58"/>
        <v/>
      </c>
      <c r="M71" s="33" t="str">
        <f t="shared" si="59"/>
        <v/>
      </c>
      <c r="N71" s="55"/>
      <c r="O71" s="66" t="str">
        <f t="shared" si="109"/>
        <v/>
      </c>
      <c r="P71" s="65"/>
      <c r="Q71" s="31" t="str">
        <f t="shared" si="60"/>
        <v/>
      </c>
      <c r="R71" s="32" t="str">
        <f t="shared" si="61"/>
        <v/>
      </c>
      <c r="S71" s="34" t="str">
        <f t="shared" si="62"/>
        <v/>
      </c>
      <c r="T71" s="34" t="str">
        <f t="shared" si="63"/>
        <v/>
      </c>
      <c r="U71" s="34" t="str">
        <f t="shared" si="64"/>
        <v/>
      </c>
      <c r="V71" s="34" t="str">
        <f t="shared" si="65"/>
        <v/>
      </c>
      <c r="W71" s="34" t="str">
        <f t="shared" si="66"/>
        <v/>
      </c>
      <c r="X71" s="34" t="str">
        <f t="shared" si="67"/>
        <v/>
      </c>
      <c r="Y71" s="34" t="str">
        <f t="shared" si="68"/>
        <v/>
      </c>
      <c r="Z71" s="34" t="str">
        <f t="shared" si="69"/>
        <v/>
      </c>
      <c r="AA71" s="34" t="str">
        <f t="shared" si="70"/>
        <v/>
      </c>
      <c r="AB71" s="32" t="str">
        <f t="shared" si="71"/>
        <v/>
      </c>
      <c r="AC71" s="35" t="str">
        <f t="shared" si="72"/>
        <v/>
      </c>
      <c r="AD71" s="32" t="str">
        <f t="shared" si="73"/>
        <v/>
      </c>
      <c r="AE71" s="32" t="str">
        <f t="shared" si="74"/>
        <v/>
      </c>
      <c r="AF71" s="32" t="str">
        <f t="shared" si="75"/>
        <v/>
      </c>
      <c r="AG71" s="32" t="str">
        <f t="shared" si="76"/>
        <v/>
      </c>
      <c r="AH71" s="35" t="str">
        <f t="shared" si="77"/>
        <v/>
      </c>
      <c r="AI71" s="32" t="str">
        <f t="shared" si="78"/>
        <v/>
      </c>
      <c r="AJ71" s="35" t="str">
        <f t="shared" si="79"/>
        <v/>
      </c>
      <c r="AK71" s="53" t="str">
        <f t="shared" si="80"/>
        <v/>
      </c>
      <c r="AL71" s="54"/>
      <c r="AM71" s="29" t="str">
        <f t="shared" si="81"/>
        <v/>
      </c>
      <c r="AN71" s="38"/>
      <c r="AO71" s="48" t="str">
        <f t="shared" si="82"/>
        <v/>
      </c>
      <c r="AP71" s="48" t="str">
        <f t="shared" si="83"/>
        <v/>
      </c>
      <c r="AQ71" s="48" t="str">
        <f t="shared" si="84"/>
        <v/>
      </c>
      <c r="AR71" s="48" t="str">
        <f t="shared" si="85"/>
        <v/>
      </c>
      <c r="AS71" s="48" t="str">
        <f t="shared" si="86"/>
        <v/>
      </c>
      <c r="AT71" s="48" t="str">
        <f t="shared" si="87"/>
        <v/>
      </c>
      <c r="AU71" s="48" t="str">
        <f t="shared" si="88"/>
        <v/>
      </c>
      <c r="AV71" s="48" t="str">
        <f t="shared" si="89"/>
        <v/>
      </c>
      <c r="AW71" s="48" t="str">
        <f t="shared" si="90"/>
        <v/>
      </c>
      <c r="AX71" s="48" t="str">
        <f t="shared" si="91"/>
        <v/>
      </c>
      <c r="AY71" s="48" t="str">
        <f t="shared" si="92"/>
        <v/>
      </c>
      <c r="AZ71" s="48" t="str">
        <f t="shared" si="93"/>
        <v/>
      </c>
      <c r="BA71" s="48" t="str">
        <f t="shared" si="94"/>
        <v/>
      </c>
      <c r="BB71" s="69"/>
      <c r="BC71" s="68" t="str">
        <f t="shared" si="95"/>
        <v/>
      </c>
      <c r="BD71" s="55"/>
      <c r="BE71" s="36" t="str">
        <f t="shared" si="96"/>
        <v/>
      </c>
      <c r="BF71" s="35" t="str">
        <f t="shared" si="97"/>
        <v/>
      </c>
      <c r="BG71" s="38"/>
      <c r="BH71" s="36" t="str">
        <f t="shared" si="98"/>
        <v/>
      </c>
      <c r="BI71" s="35" t="str">
        <f t="shared" si="99"/>
        <v/>
      </c>
      <c r="BJ71" s="38"/>
      <c r="BK71" s="36" t="str">
        <f t="shared" si="100"/>
        <v/>
      </c>
      <c r="BL71" s="35" t="str">
        <f t="shared" si="101"/>
        <v/>
      </c>
      <c r="BM71" s="38"/>
      <c r="BN71" s="36" t="str">
        <f t="shared" si="102"/>
        <v/>
      </c>
      <c r="BO71" s="35" t="str">
        <f t="shared" si="103"/>
        <v/>
      </c>
      <c r="BP71" s="35" t="str">
        <f t="shared" si="104"/>
        <v/>
      </c>
      <c r="BQ71" s="35" t="str">
        <f t="shared" si="105"/>
        <v/>
      </c>
      <c r="BR71" s="37" t="str">
        <f t="shared" si="53"/>
        <v/>
      </c>
      <c r="BS71" s="1"/>
    </row>
    <row r="72" spans="2:71" ht="70.5" customHeight="1" x14ac:dyDescent="0.25">
      <c r="B72" s="63"/>
      <c r="C72" s="31" t="str">
        <f>IFERROR(VLOOKUP(B72,Table_PrewrittenCode[#All],2,0),"")</f>
        <v/>
      </c>
      <c r="D72" s="32" t="str">
        <f>IFERROR(VLOOKUP(B72,Table_PrewrittenCode[#All],3,0),"")</f>
        <v/>
      </c>
      <c r="E72" s="53"/>
      <c r="F72" s="39" t="str">
        <f t="shared" si="106"/>
        <v/>
      </c>
      <c r="G72" s="54"/>
      <c r="H72" s="29" t="str">
        <f t="shared" si="107"/>
        <v/>
      </c>
      <c r="I72" s="30" t="str">
        <f t="shared" si="108"/>
        <v/>
      </c>
      <c r="J72" s="54"/>
      <c r="K72" s="31" t="str">
        <f t="shared" si="57"/>
        <v/>
      </c>
      <c r="L72" s="32" t="str">
        <f t="shared" si="58"/>
        <v/>
      </c>
      <c r="M72" s="33" t="str">
        <f t="shared" si="59"/>
        <v/>
      </c>
      <c r="N72" s="55"/>
      <c r="O72" s="66" t="str">
        <f t="shared" si="109"/>
        <v/>
      </c>
      <c r="P72" s="65"/>
      <c r="Q72" s="31" t="str">
        <f t="shared" si="60"/>
        <v/>
      </c>
      <c r="R72" s="32" t="str">
        <f t="shared" si="61"/>
        <v/>
      </c>
      <c r="S72" s="34" t="str">
        <f t="shared" si="62"/>
        <v/>
      </c>
      <c r="T72" s="34" t="str">
        <f t="shared" si="63"/>
        <v/>
      </c>
      <c r="U72" s="34" t="str">
        <f t="shared" si="64"/>
        <v/>
      </c>
      <c r="V72" s="34" t="str">
        <f t="shared" si="65"/>
        <v/>
      </c>
      <c r="W72" s="34" t="str">
        <f t="shared" si="66"/>
        <v/>
      </c>
      <c r="X72" s="34" t="str">
        <f t="shared" si="67"/>
        <v/>
      </c>
      <c r="Y72" s="34" t="str">
        <f t="shared" si="68"/>
        <v/>
      </c>
      <c r="Z72" s="34" t="str">
        <f t="shared" si="69"/>
        <v/>
      </c>
      <c r="AA72" s="34" t="str">
        <f t="shared" si="70"/>
        <v/>
      </c>
      <c r="AB72" s="32" t="str">
        <f t="shared" si="71"/>
        <v/>
      </c>
      <c r="AC72" s="35" t="str">
        <f t="shared" si="72"/>
        <v/>
      </c>
      <c r="AD72" s="32" t="str">
        <f t="shared" si="73"/>
        <v/>
      </c>
      <c r="AE72" s="32" t="str">
        <f t="shared" si="74"/>
        <v/>
      </c>
      <c r="AF72" s="32" t="str">
        <f t="shared" si="75"/>
        <v/>
      </c>
      <c r="AG72" s="32" t="str">
        <f t="shared" si="76"/>
        <v/>
      </c>
      <c r="AH72" s="35" t="str">
        <f t="shared" si="77"/>
        <v/>
      </c>
      <c r="AI72" s="32" t="str">
        <f t="shared" si="78"/>
        <v/>
      </c>
      <c r="AJ72" s="35" t="str">
        <f t="shared" si="79"/>
        <v/>
      </c>
      <c r="AK72" s="53" t="str">
        <f t="shared" si="80"/>
        <v/>
      </c>
      <c r="AL72" s="54"/>
      <c r="AM72" s="29" t="str">
        <f t="shared" si="81"/>
        <v/>
      </c>
      <c r="AN72" s="38"/>
      <c r="AO72" s="48" t="str">
        <f t="shared" si="82"/>
        <v/>
      </c>
      <c r="AP72" s="48" t="str">
        <f t="shared" si="83"/>
        <v/>
      </c>
      <c r="AQ72" s="48" t="str">
        <f t="shared" si="84"/>
        <v/>
      </c>
      <c r="AR72" s="48" t="str">
        <f t="shared" si="85"/>
        <v/>
      </c>
      <c r="AS72" s="48" t="str">
        <f t="shared" si="86"/>
        <v/>
      </c>
      <c r="AT72" s="48" t="str">
        <f t="shared" si="87"/>
        <v/>
      </c>
      <c r="AU72" s="48" t="str">
        <f t="shared" si="88"/>
        <v/>
      </c>
      <c r="AV72" s="48" t="str">
        <f t="shared" si="89"/>
        <v/>
      </c>
      <c r="AW72" s="48" t="str">
        <f t="shared" si="90"/>
        <v/>
      </c>
      <c r="AX72" s="48" t="str">
        <f t="shared" si="91"/>
        <v/>
      </c>
      <c r="AY72" s="48" t="str">
        <f t="shared" si="92"/>
        <v/>
      </c>
      <c r="AZ72" s="48" t="str">
        <f t="shared" si="93"/>
        <v/>
      </c>
      <c r="BA72" s="48" t="str">
        <f t="shared" si="94"/>
        <v/>
      </c>
      <c r="BB72" s="69"/>
      <c r="BC72" s="68" t="str">
        <f t="shared" si="95"/>
        <v/>
      </c>
      <c r="BD72" s="55"/>
      <c r="BE72" s="36" t="str">
        <f t="shared" si="96"/>
        <v/>
      </c>
      <c r="BF72" s="35" t="str">
        <f t="shared" si="97"/>
        <v/>
      </c>
      <c r="BG72" s="38"/>
      <c r="BH72" s="36" t="str">
        <f t="shared" si="98"/>
        <v/>
      </c>
      <c r="BI72" s="35" t="str">
        <f t="shared" si="99"/>
        <v/>
      </c>
      <c r="BJ72" s="38"/>
      <c r="BK72" s="36" t="str">
        <f t="shared" si="100"/>
        <v/>
      </c>
      <c r="BL72" s="35" t="str">
        <f t="shared" si="101"/>
        <v/>
      </c>
      <c r="BM72" s="38"/>
      <c r="BN72" s="36" t="str">
        <f t="shared" si="102"/>
        <v/>
      </c>
      <c r="BO72" s="35" t="str">
        <f t="shared" si="103"/>
        <v/>
      </c>
      <c r="BP72" s="35" t="str">
        <f t="shared" si="104"/>
        <v/>
      </c>
      <c r="BQ72" s="35" t="str">
        <f t="shared" si="105"/>
        <v/>
      </c>
      <c r="BR72" s="37" t="str">
        <f t="shared" si="53"/>
        <v/>
      </c>
      <c r="BS72" s="1"/>
    </row>
    <row r="73" spans="2:71" ht="70.5" customHeight="1" x14ac:dyDescent="0.25">
      <c r="B73" s="63"/>
      <c r="C73" s="31" t="str">
        <f>IFERROR(VLOOKUP(B73,Table_PrewrittenCode[#All],2,0),"")</f>
        <v/>
      </c>
      <c r="D73" s="32" t="str">
        <f>IFERROR(VLOOKUP(B73,Table_PrewrittenCode[#All],3,0),"")</f>
        <v/>
      </c>
      <c r="E73" s="53"/>
      <c r="F73" s="39" t="str">
        <f t="shared" si="106"/>
        <v/>
      </c>
      <c r="G73" s="54"/>
      <c r="H73" s="29" t="str">
        <f t="shared" si="107"/>
        <v/>
      </c>
      <c r="I73" s="30" t="str">
        <f t="shared" si="108"/>
        <v/>
      </c>
      <c r="J73" s="54"/>
      <c r="K73" s="31" t="str">
        <f t="shared" si="57"/>
        <v/>
      </c>
      <c r="L73" s="32" t="str">
        <f t="shared" si="58"/>
        <v/>
      </c>
      <c r="M73" s="33" t="str">
        <f t="shared" si="59"/>
        <v/>
      </c>
      <c r="N73" s="55"/>
      <c r="O73" s="66" t="str">
        <f t="shared" si="109"/>
        <v/>
      </c>
      <c r="P73" s="65"/>
      <c r="Q73" s="31" t="str">
        <f t="shared" si="60"/>
        <v/>
      </c>
      <c r="R73" s="32" t="str">
        <f t="shared" si="61"/>
        <v/>
      </c>
      <c r="S73" s="34" t="str">
        <f t="shared" si="62"/>
        <v/>
      </c>
      <c r="T73" s="34" t="str">
        <f t="shared" si="63"/>
        <v/>
      </c>
      <c r="U73" s="34" t="str">
        <f t="shared" si="64"/>
        <v/>
      </c>
      <c r="V73" s="34" t="str">
        <f t="shared" si="65"/>
        <v/>
      </c>
      <c r="W73" s="34" t="str">
        <f t="shared" si="66"/>
        <v/>
      </c>
      <c r="X73" s="34" t="str">
        <f t="shared" si="67"/>
        <v/>
      </c>
      <c r="Y73" s="34" t="str">
        <f t="shared" si="68"/>
        <v/>
      </c>
      <c r="Z73" s="34" t="str">
        <f t="shared" si="69"/>
        <v/>
      </c>
      <c r="AA73" s="34" t="str">
        <f t="shared" si="70"/>
        <v/>
      </c>
      <c r="AB73" s="32" t="str">
        <f t="shared" si="71"/>
        <v/>
      </c>
      <c r="AC73" s="35" t="str">
        <f t="shared" si="72"/>
        <v/>
      </c>
      <c r="AD73" s="32" t="str">
        <f t="shared" si="73"/>
        <v/>
      </c>
      <c r="AE73" s="32" t="str">
        <f t="shared" si="74"/>
        <v/>
      </c>
      <c r="AF73" s="32" t="str">
        <f t="shared" si="75"/>
        <v/>
      </c>
      <c r="AG73" s="32" t="str">
        <f t="shared" si="76"/>
        <v/>
      </c>
      <c r="AH73" s="35" t="str">
        <f t="shared" si="77"/>
        <v/>
      </c>
      <c r="AI73" s="32" t="str">
        <f t="shared" si="78"/>
        <v/>
      </c>
      <c r="AJ73" s="35" t="str">
        <f t="shared" si="79"/>
        <v/>
      </c>
      <c r="AK73" s="53" t="str">
        <f t="shared" si="80"/>
        <v/>
      </c>
      <c r="AL73" s="54"/>
      <c r="AM73" s="29" t="str">
        <f t="shared" si="81"/>
        <v/>
      </c>
      <c r="AN73" s="38"/>
      <c r="AO73" s="48" t="str">
        <f t="shared" si="82"/>
        <v/>
      </c>
      <c r="AP73" s="48" t="str">
        <f t="shared" si="83"/>
        <v/>
      </c>
      <c r="AQ73" s="48" t="str">
        <f t="shared" si="84"/>
        <v/>
      </c>
      <c r="AR73" s="48" t="str">
        <f t="shared" si="85"/>
        <v/>
      </c>
      <c r="AS73" s="48" t="str">
        <f t="shared" si="86"/>
        <v/>
      </c>
      <c r="AT73" s="48" t="str">
        <f t="shared" si="87"/>
        <v/>
      </c>
      <c r="AU73" s="48" t="str">
        <f t="shared" si="88"/>
        <v/>
      </c>
      <c r="AV73" s="48" t="str">
        <f t="shared" si="89"/>
        <v/>
      </c>
      <c r="AW73" s="48" t="str">
        <f t="shared" si="90"/>
        <v/>
      </c>
      <c r="AX73" s="48" t="str">
        <f t="shared" si="91"/>
        <v/>
      </c>
      <c r="AY73" s="48" t="str">
        <f t="shared" si="92"/>
        <v/>
      </c>
      <c r="AZ73" s="48" t="str">
        <f t="shared" si="93"/>
        <v/>
      </c>
      <c r="BA73" s="48" t="str">
        <f t="shared" si="94"/>
        <v/>
      </c>
      <c r="BB73" s="69"/>
      <c r="BC73" s="68" t="str">
        <f t="shared" si="95"/>
        <v/>
      </c>
      <c r="BD73" s="55"/>
      <c r="BE73" s="36" t="str">
        <f t="shared" si="96"/>
        <v/>
      </c>
      <c r="BF73" s="35" t="str">
        <f t="shared" si="97"/>
        <v/>
      </c>
      <c r="BG73" s="38"/>
      <c r="BH73" s="36" t="str">
        <f t="shared" si="98"/>
        <v/>
      </c>
      <c r="BI73" s="35" t="str">
        <f t="shared" si="99"/>
        <v/>
      </c>
      <c r="BJ73" s="38"/>
      <c r="BK73" s="36" t="str">
        <f t="shared" si="100"/>
        <v/>
      </c>
      <c r="BL73" s="35" t="str">
        <f t="shared" si="101"/>
        <v/>
      </c>
      <c r="BM73" s="38"/>
      <c r="BN73" s="36" t="str">
        <f t="shared" si="102"/>
        <v/>
      </c>
      <c r="BO73" s="35" t="str">
        <f t="shared" si="103"/>
        <v/>
      </c>
      <c r="BP73" s="35" t="str">
        <f t="shared" si="104"/>
        <v/>
      </c>
      <c r="BQ73" s="35" t="str">
        <f t="shared" si="105"/>
        <v/>
      </c>
      <c r="BR73" s="37" t="str">
        <f t="shared" si="53"/>
        <v/>
      </c>
      <c r="BS73" s="1"/>
    </row>
    <row r="74" spans="2:71" ht="70.5" customHeight="1" x14ac:dyDescent="0.25">
      <c r="B74" s="63"/>
      <c r="C74" s="31" t="str">
        <f>IFERROR(VLOOKUP(B74,Table_PrewrittenCode[#All],2,0),"")</f>
        <v/>
      </c>
      <c r="D74" s="32" t="str">
        <f>IFERROR(VLOOKUP(B74,Table_PrewrittenCode[#All],3,0),"")</f>
        <v/>
      </c>
      <c r="E74" s="53"/>
      <c r="F74" s="39" t="str">
        <f t="shared" si="106"/>
        <v/>
      </c>
      <c r="G74" s="54"/>
      <c r="H74" s="29" t="str">
        <f t="shared" si="107"/>
        <v/>
      </c>
      <c r="I74" s="30" t="str">
        <f t="shared" si="108"/>
        <v/>
      </c>
      <c r="J74" s="54"/>
      <c r="K74" s="31" t="str">
        <f t="shared" si="57"/>
        <v/>
      </c>
      <c r="L74" s="32" t="str">
        <f t="shared" si="58"/>
        <v/>
      </c>
      <c r="M74" s="33" t="str">
        <f t="shared" si="59"/>
        <v/>
      </c>
      <c r="N74" s="55"/>
      <c r="O74" s="66" t="str">
        <f t="shared" si="109"/>
        <v/>
      </c>
      <c r="P74" s="65"/>
      <c r="Q74" s="31" t="str">
        <f t="shared" si="60"/>
        <v/>
      </c>
      <c r="R74" s="32" t="str">
        <f t="shared" si="61"/>
        <v/>
      </c>
      <c r="S74" s="34" t="str">
        <f t="shared" si="62"/>
        <v/>
      </c>
      <c r="T74" s="34" t="str">
        <f t="shared" si="63"/>
        <v/>
      </c>
      <c r="U74" s="34" t="str">
        <f t="shared" si="64"/>
        <v/>
      </c>
      <c r="V74" s="34" t="str">
        <f t="shared" si="65"/>
        <v/>
      </c>
      <c r="W74" s="34" t="str">
        <f t="shared" si="66"/>
        <v/>
      </c>
      <c r="X74" s="34" t="str">
        <f t="shared" si="67"/>
        <v/>
      </c>
      <c r="Y74" s="34" t="str">
        <f t="shared" si="68"/>
        <v/>
      </c>
      <c r="Z74" s="34" t="str">
        <f t="shared" si="69"/>
        <v/>
      </c>
      <c r="AA74" s="34" t="str">
        <f t="shared" si="70"/>
        <v/>
      </c>
      <c r="AB74" s="32" t="str">
        <f t="shared" si="71"/>
        <v/>
      </c>
      <c r="AC74" s="35" t="str">
        <f t="shared" si="72"/>
        <v/>
      </c>
      <c r="AD74" s="32" t="str">
        <f t="shared" si="73"/>
        <v/>
      </c>
      <c r="AE74" s="32" t="str">
        <f t="shared" si="74"/>
        <v/>
      </c>
      <c r="AF74" s="32" t="str">
        <f t="shared" si="75"/>
        <v/>
      </c>
      <c r="AG74" s="32" t="str">
        <f t="shared" si="76"/>
        <v/>
      </c>
      <c r="AH74" s="35" t="str">
        <f t="shared" si="77"/>
        <v/>
      </c>
      <c r="AI74" s="32" t="str">
        <f t="shared" si="78"/>
        <v/>
      </c>
      <c r="AJ74" s="35" t="str">
        <f t="shared" si="79"/>
        <v/>
      </c>
      <c r="AK74" s="53" t="str">
        <f t="shared" si="80"/>
        <v/>
      </c>
      <c r="AL74" s="54"/>
      <c r="AM74" s="29" t="str">
        <f t="shared" si="81"/>
        <v/>
      </c>
      <c r="AN74" s="38"/>
      <c r="AO74" s="48" t="str">
        <f t="shared" si="82"/>
        <v/>
      </c>
      <c r="AP74" s="48" t="str">
        <f t="shared" si="83"/>
        <v/>
      </c>
      <c r="AQ74" s="48" t="str">
        <f t="shared" si="84"/>
        <v/>
      </c>
      <c r="AR74" s="48" t="str">
        <f t="shared" si="85"/>
        <v/>
      </c>
      <c r="AS74" s="48" t="str">
        <f t="shared" si="86"/>
        <v/>
      </c>
      <c r="AT74" s="48" t="str">
        <f t="shared" si="87"/>
        <v/>
      </c>
      <c r="AU74" s="48" t="str">
        <f t="shared" si="88"/>
        <v/>
      </c>
      <c r="AV74" s="48" t="str">
        <f t="shared" si="89"/>
        <v/>
      </c>
      <c r="AW74" s="48" t="str">
        <f t="shared" si="90"/>
        <v/>
      </c>
      <c r="AX74" s="48" t="str">
        <f t="shared" si="91"/>
        <v/>
      </c>
      <c r="AY74" s="48" t="str">
        <f t="shared" si="92"/>
        <v/>
      </c>
      <c r="AZ74" s="48" t="str">
        <f t="shared" si="93"/>
        <v/>
      </c>
      <c r="BA74" s="48" t="str">
        <f t="shared" si="94"/>
        <v/>
      </c>
      <c r="BB74" s="69"/>
      <c r="BC74" s="68" t="str">
        <f t="shared" si="95"/>
        <v/>
      </c>
      <c r="BD74" s="55"/>
      <c r="BE74" s="36" t="str">
        <f t="shared" si="96"/>
        <v/>
      </c>
      <c r="BF74" s="35" t="str">
        <f t="shared" si="97"/>
        <v/>
      </c>
      <c r="BG74" s="38"/>
      <c r="BH74" s="36" t="str">
        <f t="shared" si="98"/>
        <v/>
      </c>
      <c r="BI74" s="35" t="str">
        <f t="shared" si="99"/>
        <v/>
      </c>
      <c r="BJ74" s="38"/>
      <c r="BK74" s="36" t="str">
        <f t="shared" si="100"/>
        <v/>
      </c>
      <c r="BL74" s="35" t="str">
        <f t="shared" si="101"/>
        <v/>
      </c>
      <c r="BM74" s="38"/>
      <c r="BN74" s="36" t="str">
        <f t="shared" si="102"/>
        <v/>
      </c>
      <c r="BO74" s="35" t="str">
        <f t="shared" si="103"/>
        <v/>
      </c>
      <c r="BP74" s="35" t="str">
        <f t="shared" si="104"/>
        <v/>
      </c>
      <c r="BQ74" s="35" t="str">
        <f t="shared" si="105"/>
        <v/>
      </c>
      <c r="BR74" s="37" t="str">
        <f t="shared" si="53"/>
        <v/>
      </c>
      <c r="BS74" s="1"/>
    </row>
    <row r="75" spans="2:71" ht="70.5" customHeight="1" x14ac:dyDescent="0.25">
      <c r="B75" s="63"/>
      <c r="C75" s="31" t="str">
        <f>IFERROR(VLOOKUP(B75,Table_PrewrittenCode[#All],2,0),"")</f>
        <v/>
      </c>
      <c r="D75" s="32" t="str">
        <f>IFERROR(VLOOKUP(B75,Table_PrewrittenCode[#All],3,0),"")</f>
        <v/>
      </c>
      <c r="E75" s="53"/>
      <c r="F75" s="39" t="str">
        <f t="shared" si="106"/>
        <v/>
      </c>
      <c r="G75" s="54"/>
      <c r="H75" s="29" t="str">
        <f t="shared" si="107"/>
        <v/>
      </c>
      <c r="I75" s="30" t="str">
        <f t="shared" si="108"/>
        <v/>
      </c>
      <c r="J75" s="54"/>
      <c r="K75" s="31" t="str">
        <f t="shared" si="57"/>
        <v/>
      </c>
      <c r="L75" s="32" t="str">
        <f t="shared" si="58"/>
        <v/>
      </c>
      <c r="M75" s="33" t="str">
        <f t="shared" si="59"/>
        <v/>
      </c>
      <c r="N75" s="55"/>
      <c r="O75" s="66" t="str">
        <f t="shared" si="109"/>
        <v/>
      </c>
      <c r="P75" s="65"/>
      <c r="Q75" s="31" t="str">
        <f t="shared" si="60"/>
        <v/>
      </c>
      <c r="R75" s="32" t="str">
        <f t="shared" si="61"/>
        <v/>
      </c>
      <c r="S75" s="34" t="str">
        <f t="shared" si="62"/>
        <v/>
      </c>
      <c r="T75" s="34" t="str">
        <f t="shared" si="63"/>
        <v/>
      </c>
      <c r="U75" s="34" t="str">
        <f t="shared" si="64"/>
        <v/>
      </c>
      <c r="V75" s="34" t="str">
        <f t="shared" si="65"/>
        <v/>
      </c>
      <c r="W75" s="34" t="str">
        <f t="shared" si="66"/>
        <v/>
      </c>
      <c r="X75" s="34" t="str">
        <f t="shared" si="67"/>
        <v/>
      </c>
      <c r="Y75" s="34" t="str">
        <f t="shared" si="68"/>
        <v/>
      </c>
      <c r="Z75" s="34" t="str">
        <f t="shared" si="69"/>
        <v/>
      </c>
      <c r="AA75" s="34" t="str">
        <f t="shared" si="70"/>
        <v/>
      </c>
      <c r="AB75" s="32" t="str">
        <f t="shared" si="71"/>
        <v/>
      </c>
      <c r="AC75" s="35" t="str">
        <f t="shared" si="72"/>
        <v/>
      </c>
      <c r="AD75" s="32" t="str">
        <f t="shared" si="73"/>
        <v/>
      </c>
      <c r="AE75" s="32" t="str">
        <f t="shared" si="74"/>
        <v/>
      </c>
      <c r="AF75" s="32" t="str">
        <f t="shared" si="75"/>
        <v/>
      </c>
      <c r="AG75" s="32" t="str">
        <f t="shared" si="76"/>
        <v/>
      </c>
      <c r="AH75" s="35" t="str">
        <f t="shared" si="77"/>
        <v/>
      </c>
      <c r="AI75" s="32" t="str">
        <f t="shared" si="78"/>
        <v/>
      </c>
      <c r="AJ75" s="35" t="str">
        <f t="shared" si="79"/>
        <v/>
      </c>
      <c r="AK75" s="53" t="str">
        <f t="shared" si="80"/>
        <v/>
      </c>
      <c r="AL75" s="54"/>
      <c r="AM75" s="29" t="str">
        <f t="shared" si="81"/>
        <v/>
      </c>
      <c r="AN75" s="38"/>
      <c r="AO75" s="48" t="str">
        <f t="shared" si="82"/>
        <v/>
      </c>
      <c r="AP75" s="48" t="str">
        <f t="shared" si="83"/>
        <v/>
      </c>
      <c r="AQ75" s="48" t="str">
        <f t="shared" si="84"/>
        <v/>
      </c>
      <c r="AR75" s="48" t="str">
        <f t="shared" si="85"/>
        <v/>
      </c>
      <c r="AS75" s="48" t="str">
        <f t="shared" si="86"/>
        <v/>
      </c>
      <c r="AT75" s="48" t="str">
        <f t="shared" si="87"/>
        <v/>
      </c>
      <c r="AU75" s="48" t="str">
        <f t="shared" si="88"/>
        <v/>
      </c>
      <c r="AV75" s="48" t="str">
        <f t="shared" si="89"/>
        <v/>
      </c>
      <c r="AW75" s="48" t="str">
        <f t="shared" si="90"/>
        <v/>
      </c>
      <c r="AX75" s="48" t="str">
        <f t="shared" si="91"/>
        <v/>
      </c>
      <c r="AY75" s="48" t="str">
        <f t="shared" si="92"/>
        <v/>
      </c>
      <c r="AZ75" s="48" t="str">
        <f t="shared" si="93"/>
        <v/>
      </c>
      <c r="BA75" s="48" t="str">
        <f t="shared" si="94"/>
        <v/>
      </c>
      <c r="BB75" s="69"/>
      <c r="BC75" s="68" t="str">
        <f t="shared" si="95"/>
        <v/>
      </c>
      <c r="BD75" s="55"/>
      <c r="BE75" s="36" t="str">
        <f t="shared" si="96"/>
        <v/>
      </c>
      <c r="BF75" s="35" t="str">
        <f t="shared" si="97"/>
        <v/>
      </c>
      <c r="BG75" s="38"/>
      <c r="BH75" s="36" t="str">
        <f t="shared" si="98"/>
        <v/>
      </c>
      <c r="BI75" s="35" t="str">
        <f t="shared" si="99"/>
        <v/>
      </c>
      <c r="BJ75" s="38"/>
      <c r="BK75" s="36" t="str">
        <f t="shared" si="100"/>
        <v/>
      </c>
      <c r="BL75" s="35" t="str">
        <f t="shared" si="101"/>
        <v/>
      </c>
      <c r="BM75" s="38"/>
      <c r="BN75" s="36" t="str">
        <f t="shared" si="102"/>
        <v/>
      </c>
      <c r="BO75" s="35" t="str">
        <f t="shared" si="103"/>
        <v/>
      </c>
      <c r="BP75" s="35" t="str">
        <f t="shared" si="104"/>
        <v/>
      </c>
      <c r="BQ75" s="35" t="str">
        <f t="shared" si="105"/>
        <v/>
      </c>
      <c r="BR75" s="37" t="str">
        <f t="shared" si="53"/>
        <v/>
      </c>
      <c r="BS75" s="1"/>
    </row>
    <row r="76" spans="2:71" ht="70.5" customHeight="1" x14ac:dyDescent="0.25">
      <c r="B76" s="63"/>
      <c r="C76" s="31" t="str">
        <f>IFERROR(VLOOKUP(B76,Table_PrewrittenCode[#All],2,0),"")</f>
        <v/>
      </c>
      <c r="D76" s="32" t="str">
        <f>IFERROR(VLOOKUP(B76,Table_PrewrittenCode[#All],3,0),"")</f>
        <v/>
      </c>
      <c r="E76" s="53"/>
      <c r="F76" s="39" t="str">
        <f t="shared" si="106"/>
        <v/>
      </c>
      <c r="G76" s="54"/>
      <c r="H76" s="29" t="str">
        <f t="shared" si="107"/>
        <v/>
      </c>
      <c r="I76" s="30" t="str">
        <f t="shared" si="108"/>
        <v/>
      </c>
      <c r="J76" s="54"/>
      <c r="K76" s="31" t="str">
        <f t="shared" si="57"/>
        <v/>
      </c>
      <c r="L76" s="32" t="str">
        <f t="shared" si="58"/>
        <v/>
      </c>
      <c r="M76" s="33" t="str">
        <f t="shared" si="59"/>
        <v/>
      </c>
      <c r="N76" s="55"/>
      <c r="O76" s="66" t="str">
        <f t="shared" si="109"/>
        <v/>
      </c>
      <c r="P76" s="65"/>
      <c r="Q76" s="31" t="str">
        <f t="shared" si="60"/>
        <v/>
      </c>
      <c r="R76" s="32" t="str">
        <f t="shared" si="61"/>
        <v/>
      </c>
      <c r="S76" s="34" t="str">
        <f t="shared" si="62"/>
        <v/>
      </c>
      <c r="T76" s="34" t="str">
        <f t="shared" si="63"/>
        <v/>
      </c>
      <c r="U76" s="34" t="str">
        <f t="shared" si="64"/>
        <v/>
      </c>
      <c r="V76" s="34" t="str">
        <f t="shared" si="65"/>
        <v/>
      </c>
      <c r="W76" s="34" t="str">
        <f t="shared" si="66"/>
        <v/>
      </c>
      <c r="X76" s="34" t="str">
        <f t="shared" si="67"/>
        <v/>
      </c>
      <c r="Y76" s="34" t="str">
        <f t="shared" si="68"/>
        <v/>
      </c>
      <c r="Z76" s="34" t="str">
        <f t="shared" si="69"/>
        <v/>
      </c>
      <c r="AA76" s="34" t="str">
        <f t="shared" si="70"/>
        <v/>
      </c>
      <c r="AB76" s="32" t="str">
        <f t="shared" si="71"/>
        <v/>
      </c>
      <c r="AC76" s="35" t="str">
        <f t="shared" si="72"/>
        <v/>
      </c>
      <c r="AD76" s="32" t="str">
        <f t="shared" si="73"/>
        <v/>
      </c>
      <c r="AE76" s="32" t="str">
        <f t="shared" si="74"/>
        <v/>
      </c>
      <c r="AF76" s="32" t="str">
        <f t="shared" si="75"/>
        <v/>
      </c>
      <c r="AG76" s="32" t="str">
        <f t="shared" si="76"/>
        <v/>
      </c>
      <c r="AH76" s="35" t="str">
        <f t="shared" si="77"/>
        <v/>
      </c>
      <c r="AI76" s="32" t="str">
        <f t="shared" si="78"/>
        <v/>
      </c>
      <c r="AJ76" s="35" t="str">
        <f t="shared" si="79"/>
        <v/>
      </c>
      <c r="AK76" s="53" t="str">
        <f t="shared" si="80"/>
        <v/>
      </c>
      <c r="AL76" s="54"/>
      <c r="AM76" s="29" t="str">
        <f t="shared" si="81"/>
        <v/>
      </c>
      <c r="AN76" s="38"/>
      <c r="AO76" s="48" t="str">
        <f t="shared" si="82"/>
        <v/>
      </c>
      <c r="AP76" s="48" t="str">
        <f t="shared" si="83"/>
        <v/>
      </c>
      <c r="AQ76" s="48" t="str">
        <f t="shared" si="84"/>
        <v/>
      </c>
      <c r="AR76" s="48" t="str">
        <f t="shared" si="85"/>
        <v/>
      </c>
      <c r="AS76" s="48" t="str">
        <f t="shared" si="86"/>
        <v/>
      </c>
      <c r="AT76" s="48" t="str">
        <f t="shared" si="87"/>
        <v/>
      </c>
      <c r="AU76" s="48" t="str">
        <f t="shared" si="88"/>
        <v/>
      </c>
      <c r="AV76" s="48" t="str">
        <f t="shared" si="89"/>
        <v/>
      </c>
      <c r="AW76" s="48" t="str">
        <f t="shared" si="90"/>
        <v/>
      </c>
      <c r="AX76" s="48" t="str">
        <f t="shared" si="91"/>
        <v/>
      </c>
      <c r="AY76" s="48" t="str">
        <f t="shared" si="92"/>
        <v/>
      </c>
      <c r="AZ76" s="48" t="str">
        <f t="shared" si="93"/>
        <v/>
      </c>
      <c r="BA76" s="48" t="str">
        <f t="shared" si="94"/>
        <v/>
      </c>
      <c r="BB76" s="69"/>
      <c r="BC76" s="68" t="str">
        <f t="shared" si="95"/>
        <v/>
      </c>
      <c r="BD76" s="55"/>
      <c r="BE76" s="36" t="str">
        <f t="shared" si="96"/>
        <v/>
      </c>
      <c r="BF76" s="35" t="str">
        <f t="shared" si="97"/>
        <v/>
      </c>
      <c r="BG76" s="38"/>
      <c r="BH76" s="36" t="str">
        <f t="shared" si="98"/>
        <v/>
      </c>
      <c r="BI76" s="35" t="str">
        <f t="shared" si="99"/>
        <v/>
      </c>
      <c r="BJ76" s="38"/>
      <c r="BK76" s="36" t="str">
        <f t="shared" si="100"/>
        <v/>
      </c>
      <c r="BL76" s="35" t="str">
        <f t="shared" si="101"/>
        <v/>
      </c>
      <c r="BM76" s="38"/>
      <c r="BN76" s="36" t="str">
        <f t="shared" si="102"/>
        <v/>
      </c>
      <c r="BO76" s="35" t="str">
        <f t="shared" si="103"/>
        <v/>
      </c>
      <c r="BP76" s="35" t="str">
        <f t="shared" si="104"/>
        <v/>
      </c>
      <c r="BQ76" s="35" t="str">
        <f t="shared" si="105"/>
        <v/>
      </c>
      <c r="BR76" s="37" t="str">
        <f t="shared" si="53"/>
        <v/>
      </c>
      <c r="BS76" s="1"/>
    </row>
    <row r="77" spans="2:71" ht="70.5" customHeight="1" x14ac:dyDescent="0.25">
      <c r="B77" s="63"/>
      <c r="C77" s="31" t="str">
        <f>IFERROR(VLOOKUP(B77,Table_PrewrittenCode[#All],2,0),"")</f>
        <v/>
      </c>
      <c r="D77" s="32" t="str">
        <f>IFERROR(VLOOKUP(B77,Table_PrewrittenCode[#All],3,0),"")</f>
        <v/>
      </c>
      <c r="E77" s="53"/>
      <c r="F77" s="39" t="str">
        <f t="shared" si="106"/>
        <v/>
      </c>
      <c r="G77" s="54"/>
      <c r="H77" s="29" t="str">
        <f t="shared" si="107"/>
        <v/>
      </c>
      <c r="I77" s="30" t="str">
        <f t="shared" si="108"/>
        <v/>
      </c>
      <c r="J77" s="54"/>
      <c r="K77" s="31" t="str">
        <f t="shared" si="57"/>
        <v/>
      </c>
      <c r="L77" s="32" t="str">
        <f t="shared" si="58"/>
        <v/>
      </c>
      <c r="M77" s="33" t="str">
        <f t="shared" si="59"/>
        <v/>
      </c>
      <c r="N77" s="55"/>
      <c r="O77" s="66" t="str">
        <f t="shared" si="109"/>
        <v/>
      </c>
      <c r="P77" s="65"/>
      <c r="Q77" s="31" t="str">
        <f t="shared" si="60"/>
        <v/>
      </c>
      <c r="R77" s="32" t="str">
        <f t="shared" si="61"/>
        <v/>
      </c>
      <c r="S77" s="34" t="str">
        <f t="shared" si="62"/>
        <v/>
      </c>
      <c r="T77" s="34" t="str">
        <f t="shared" si="63"/>
        <v/>
      </c>
      <c r="U77" s="34" t="str">
        <f t="shared" si="64"/>
        <v/>
      </c>
      <c r="V77" s="34" t="str">
        <f t="shared" si="65"/>
        <v/>
      </c>
      <c r="W77" s="34" t="str">
        <f t="shared" si="66"/>
        <v/>
      </c>
      <c r="X77" s="34" t="str">
        <f t="shared" si="67"/>
        <v/>
      </c>
      <c r="Y77" s="34" t="str">
        <f t="shared" si="68"/>
        <v/>
      </c>
      <c r="Z77" s="34" t="str">
        <f t="shared" si="69"/>
        <v/>
      </c>
      <c r="AA77" s="34" t="str">
        <f t="shared" si="70"/>
        <v/>
      </c>
      <c r="AB77" s="32" t="str">
        <f t="shared" si="71"/>
        <v/>
      </c>
      <c r="AC77" s="35" t="str">
        <f t="shared" si="72"/>
        <v/>
      </c>
      <c r="AD77" s="32" t="str">
        <f t="shared" si="73"/>
        <v/>
      </c>
      <c r="AE77" s="32" t="str">
        <f t="shared" si="74"/>
        <v/>
      </c>
      <c r="AF77" s="32" t="str">
        <f t="shared" si="75"/>
        <v/>
      </c>
      <c r="AG77" s="32" t="str">
        <f t="shared" si="76"/>
        <v/>
      </c>
      <c r="AH77" s="35" t="str">
        <f t="shared" si="77"/>
        <v/>
      </c>
      <c r="AI77" s="32" t="str">
        <f t="shared" si="78"/>
        <v/>
      </c>
      <c r="AJ77" s="35" t="str">
        <f t="shared" si="79"/>
        <v/>
      </c>
      <c r="AK77" s="53" t="str">
        <f t="shared" si="80"/>
        <v/>
      </c>
      <c r="AL77" s="54"/>
      <c r="AM77" s="29" t="str">
        <f t="shared" si="81"/>
        <v/>
      </c>
      <c r="AN77" s="38"/>
      <c r="AO77" s="48" t="str">
        <f t="shared" si="82"/>
        <v/>
      </c>
      <c r="AP77" s="48" t="str">
        <f t="shared" si="83"/>
        <v/>
      </c>
      <c r="AQ77" s="48" t="str">
        <f t="shared" si="84"/>
        <v/>
      </c>
      <c r="AR77" s="48" t="str">
        <f t="shared" si="85"/>
        <v/>
      </c>
      <c r="AS77" s="48" t="str">
        <f t="shared" si="86"/>
        <v/>
      </c>
      <c r="AT77" s="48" t="str">
        <f t="shared" si="87"/>
        <v/>
      </c>
      <c r="AU77" s="48" t="str">
        <f t="shared" si="88"/>
        <v/>
      </c>
      <c r="AV77" s="48" t="str">
        <f t="shared" si="89"/>
        <v/>
      </c>
      <c r="AW77" s="48" t="str">
        <f t="shared" si="90"/>
        <v/>
      </c>
      <c r="AX77" s="48" t="str">
        <f t="shared" si="91"/>
        <v/>
      </c>
      <c r="AY77" s="48" t="str">
        <f t="shared" si="92"/>
        <v/>
      </c>
      <c r="AZ77" s="48" t="str">
        <f t="shared" si="93"/>
        <v/>
      </c>
      <c r="BA77" s="48" t="str">
        <f t="shared" si="94"/>
        <v/>
      </c>
      <c r="BB77" s="69"/>
      <c r="BC77" s="68" t="str">
        <f t="shared" si="95"/>
        <v/>
      </c>
      <c r="BD77" s="55"/>
      <c r="BE77" s="36" t="str">
        <f t="shared" si="96"/>
        <v/>
      </c>
      <c r="BF77" s="35" t="str">
        <f t="shared" si="97"/>
        <v/>
      </c>
      <c r="BG77" s="38"/>
      <c r="BH77" s="36" t="str">
        <f t="shared" si="98"/>
        <v/>
      </c>
      <c r="BI77" s="35" t="str">
        <f t="shared" si="99"/>
        <v/>
      </c>
      <c r="BJ77" s="38"/>
      <c r="BK77" s="36" t="str">
        <f t="shared" si="100"/>
        <v/>
      </c>
      <c r="BL77" s="35" t="str">
        <f t="shared" si="101"/>
        <v/>
      </c>
      <c r="BM77" s="38"/>
      <c r="BN77" s="36" t="str">
        <f t="shared" si="102"/>
        <v/>
      </c>
      <c r="BO77" s="35" t="str">
        <f t="shared" si="103"/>
        <v/>
      </c>
      <c r="BP77" s="35" t="str">
        <f t="shared" si="104"/>
        <v/>
      </c>
      <c r="BQ77" s="35" t="str">
        <f t="shared" si="105"/>
        <v/>
      </c>
      <c r="BR77" s="37" t="str">
        <f t="shared" si="53"/>
        <v/>
      </c>
      <c r="BS77" s="1"/>
    </row>
    <row r="78" spans="2:71" ht="70.5" customHeight="1" x14ac:dyDescent="0.25">
      <c r="B78" s="63"/>
      <c r="C78" s="31" t="str">
        <f>IFERROR(VLOOKUP(B78,Table_PrewrittenCode[#All],2,0),"")</f>
        <v/>
      </c>
      <c r="D78" s="32" t="str">
        <f>IFERROR(VLOOKUP(B78,Table_PrewrittenCode[#All],3,0),"")</f>
        <v/>
      </c>
      <c r="E78" s="53"/>
      <c r="F78" s="39" t="str">
        <f t="shared" si="106"/>
        <v/>
      </c>
      <c r="G78" s="54"/>
      <c r="H78" s="29" t="str">
        <f t="shared" si="107"/>
        <v/>
      </c>
      <c r="I78" s="30" t="str">
        <f t="shared" si="108"/>
        <v/>
      </c>
      <c r="J78" s="54"/>
      <c r="K78" s="31" t="str">
        <f t="shared" si="57"/>
        <v/>
      </c>
      <c r="L78" s="32" t="str">
        <f t="shared" si="58"/>
        <v/>
      </c>
      <c r="M78" s="33" t="str">
        <f t="shared" si="59"/>
        <v/>
      </c>
      <c r="N78" s="55"/>
      <c r="O78" s="66" t="str">
        <f t="shared" si="109"/>
        <v/>
      </c>
      <c r="P78" s="65"/>
      <c r="Q78" s="31" t="str">
        <f t="shared" si="60"/>
        <v/>
      </c>
      <c r="R78" s="32" t="str">
        <f t="shared" si="61"/>
        <v/>
      </c>
      <c r="S78" s="34" t="str">
        <f t="shared" si="62"/>
        <v/>
      </c>
      <c r="T78" s="34" t="str">
        <f t="shared" si="63"/>
        <v/>
      </c>
      <c r="U78" s="34" t="str">
        <f t="shared" si="64"/>
        <v/>
      </c>
      <c r="V78" s="34" t="str">
        <f t="shared" si="65"/>
        <v/>
      </c>
      <c r="W78" s="34" t="str">
        <f t="shared" si="66"/>
        <v/>
      </c>
      <c r="X78" s="34" t="str">
        <f t="shared" si="67"/>
        <v/>
      </c>
      <c r="Y78" s="34" t="str">
        <f t="shared" si="68"/>
        <v/>
      </c>
      <c r="Z78" s="34" t="str">
        <f t="shared" si="69"/>
        <v/>
      </c>
      <c r="AA78" s="34" t="str">
        <f t="shared" si="70"/>
        <v/>
      </c>
      <c r="AB78" s="32" t="str">
        <f t="shared" si="71"/>
        <v/>
      </c>
      <c r="AC78" s="35" t="str">
        <f t="shared" si="72"/>
        <v/>
      </c>
      <c r="AD78" s="32" t="str">
        <f t="shared" si="73"/>
        <v/>
      </c>
      <c r="AE78" s="32" t="str">
        <f t="shared" si="74"/>
        <v/>
      </c>
      <c r="AF78" s="32" t="str">
        <f t="shared" si="75"/>
        <v/>
      </c>
      <c r="AG78" s="32" t="str">
        <f t="shared" si="76"/>
        <v/>
      </c>
      <c r="AH78" s="35" t="str">
        <f t="shared" si="77"/>
        <v/>
      </c>
      <c r="AI78" s="32" t="str">
        <f t="shared" si="78"/>
        <v/>
      </c>
      <c r="AJ78" s="35" t="str">
        <f t="shared" si="79"/>
        <v/>
      </c>
      <c r="AK78" s="53" t="str">
        <f t="shared" si="80"/>
        <v/>
      </c>
      <c r="AL78" s="54"/>
      <c r="AM78" s="29" t="str">
        <f t="shared" si="81"/>
        <v/>
      </c>
      <c r="AN78" s="38"/>
      <c r="AO78" s="48" t="str">
        <f t="shared" si="82"/>
        <v/>
      </c>
      <c r="AP78" s="48" t="str">
        <f t="shared" si="83"/>
        <v/>
      </c>
      <c r="AQ78" s="48" t="str">
        <f t="shared" si="84"/>
        <v/>
      </c>
      <c r="AR78" s="48" t="str">
        <f t="shared" si="85"/>
        <v/>
      </c>
      <c r="AS78" s="48" t="str">
        <f t="shared" si="86"/>
        <v/>
      </c>
      <c r="AT78" s="48" t="str">
        <f t="shared" si="87"/>
        <v/>
      </c>
      <c r="AU78" s="48" t="str">
        <f t="shared" si="88"/>
        <v/>
      </c>
      <c r="AV78" s="48" t="str">
        <f t="shared" si="89"/>
        <v/>
      </c>
      <c r="AW78" s="48" t="str">
        <f t="shared" si="90"/>
        <v/>
      </c>
      <c r="AX78" s="48" t="str">
        <f t="shared" si="91"/>
        <v/>
      </c>
      <c r="AY78" s="48" t="str">
        <f t="shared" si="92"/>
        <v/>
      </c>
      <c r="AZ78" s="48" t="str">
        <f t="shared" si="93"/>
        <v/>
      </c>
      <c r="BA78" s="48" t="str">
        <f t="shared" si="94"/>
        <v/>
      </c>
      <c r="BB78" s="69"/>
      <c r="BC78" s="68" t="str">
        <f t="shared" si="95"/>
        <v/>
      </c>
      <c r="BD78" s="55"/>
      <c r="BE78" s="36" t="str">
        <f t="shared" si="96"/>
        <v/>
      </c>
      <c r="BF78" s="35" t="str">
        <f t="shared" si="97"/>
        <v/>
      </c>
      <c r="BG78" s="38"/>
      <c r="BH78" s="36" t="str">
        <f t="shared" si="98"/>
        <v/>
      </c>
      <c r="BI78" s="35" t="str">
        <f t="shared" si="99"/>
        <v/>
      </c>
      <c r="BJ78" s="38"/>
      <c r="BK78" s="36" t="str">
        <f t="shared" si="100"/>
        <v/>
      </c>
      <c r="BL78" s="35" t="str">
        <f t="shared" si="101"/>
        <v/>
      </c>
      <c r="BM78" s="38"/>
      <c r="BN78" s="36" t="str">
        <f t="shared" si="102"/>
        <v/>
      </c>
      <c r="BO78" s="35" t="str">
        <f t="shared" si="103"/>
        <v/>
      </c>
      <c r="BP78" s="35" t="str">
        <f t="shared" si="104"/>
        <v/>
      </c>
      <c r="BQ78" s="35" t="str">
        <f t="shared" si="105"/>
        <v/>
      </c>
      <c r="BR78" s="37" t="str">
        <f t="shared" ref="BR78:BR99" si="110">IFERROR(IF(BQ78="","",BQ78),"")</f>
        <v/>
      </c>
      <c r="BS78" s="1"/>
    </row>
    <row r="79" spans="2:71" ht="70.5" customHeight="1" x14ac:dyDescent="0.25">
      <c r="B79" s="63"/>
      <c r="C79" s="31" t="str">
        <f>IFERROR(VLOOKUP(B79,Table_PrewrittenCode[#All],2,0),"")</f>
        <v/>
      </c>
      <c r="D79" s="32" t="str">
        <f>IFERROR(VLOOKUP(B79,Table_PrewrittenCode[#All],3,0),"")</f>
        <v/>
      </c>
      <c r="E79" s="53"/>
      <c r="F79" s="39" t="str">
        <f t="shared" si="106"/>
        <v/>
      </c>
      <c r="G79" s="54"/>
      <c r="H79" s="29" t="str">
        <f t="shared" si="107"/>
        <v/>
      </c>
      <c r="I79" s="30" t="str">
        <f t="shared" si="108"/>
        <v/>
      </c>
      <c r="J79" s="54"/>
      <c r="K79" s="31" t="str">
        <f t="shared" si="57"/>
        <v/>
      </c>
      <c r="L79" s="32" t="str">
        <f t="shared" si="58"/>
        <v/>
      </c>
      <c r="M79" s="33" t="str">
        <f t="shared" si="59"/>
        <v/>
      </c>
      <c r="N79" s="55"/>
      <c r="O79" s="66" t="str">
        <f t="shared" si="109"/>
        <v/>
      </c>
      <c r="P79" s="65"/>
      <c r="Q79" s="31" t="str">
        <f t="shared" si="60"/>
        <v/>
      </c>
      <c r="R79" s="32" t="str">
        <f t="shared" si="61"/>
        <v/>
      </c>
      <c r="S79" s="34" t="str">
        <f t="shared" si="62"/>
        <v/>
      </c>
      <c r="T79" s="34" t="str">
        <f t="shared" si="63"/>
        <v/>
      </c>
      <c r="U79" s="34" t="str">
        <f t="shared" si="64"/>
        <v/>
      </c>
      <c r="V79" s="34" t="str">
        <f t="shared" si="65"/>
        <v/>
      </c>
      <c r="W79" s="34" t="str">
        <f t="shared" si="66"/>
        <v/>
      </c>
      <c r="X79" s="34" t="str">
        <f t="shared" si="67"/>
        <v/>
      </c>
      <c r="Y79" s="34" t="str">
        <f t="shared" si="68"/>
        <v/>
      </c>
      <c r="Z79" s="34" t="str">
        <f t="shared" si="69"/>
        <v/>
      </c>
      <c r="AA79" s="34" t="str">
        <f t="shared" si="70"/>
        <v/>
      </c>
      <c r="AB79" s="32" t="str">
        <f t="shared" si="71"/>
        <v/>
      </c>
      <c r="AC79" s="35" t="str">
        <f t="shared" si="72"/>
        <v/>
      </c>
      <c r="AD79" s="32" t="str">
        <f t="shared" si="73"/>
        <v/>
      </c>
      <c r="AE79" s="32" t="str">
        <f t="shared" si="74"/>
        <v/>
      </c>
      <c r="AF79" s="32" t="str">
        <f t="shared" si="75"/>
        <v/>
      </c>
      <c r="AG79" s="32" t="str">
        <f t="shared" si="76"/>
        <v/>
      </c>
      <c r="AH79" s="35" t="str">
        <f t="shared" si="77"/>
        <v/>
      </c>
      <c r="AI79" s="32" t="str">
        <f t="shared" si="78"/>
        <v/>
      </c>
      <c r="AJ79" s="35" t="str">
        <f t="shared" si="79"/>
        <v/>
      </c>
      <c r="AK79" s="53" t="str">
        <f t="shared" si="80"/>
        <v/>
      </c>
      <c r="AL79" s="54"/>
      <c r="AM79" s="29" t="str">
        <f t="shared" si="81"/>
        <v/>
      </c>
      <c r="AN79" s="38"/>
      <c r="AO79" s="48" t="str">
        <f t="shared" si="82"/>
        <v/>
      </c>
      <c r="AP79" s="48" t="str">
        <f t="shared" si="83"/>
        <v/>
      </c>
      <c r="AQ79" s="48" t="str">
        <f t="shared" si="84"/>
        <v/>
      </c>
      <c r="AR79" s="48" t="str">
        <f t="shared" si="85"/>
        <v/>
      </c>
      <c r="AS79" s="48" t="str">
        <f t="shared" si="86"/>
        <v/>
      </c>
      <c r="AT79" s="48" t="str">
        <f t="shared" si="87"/>
        <v/>
      </c>
      <c r="AU79" s="48" t="str">
        <f t="shared" si="88"/>
        <v/>
      </c>
      <c r="AV79" s="48" t="str">
        <f t="shared" si="89"/>
        <v/>
      </c>
      <c r="AW79" s="48" t="str">
        <f t="shared" si="90"/>
        <v/>
      </c>
      <c r="AX79" s="48" t="str">
        <f t="shared" si="91"/>
        <v/>
      </c>
      <c r="AY79" s="48" t="str">
        <f t="shared" si="92"/>
        <v/>
      </c>
      <c r="AZ79" s="48" t="str">
        <f t="shared" si="93"/>
        <v/>
      </c>
      <c r="BA79" s="48" t="str">
        <f t="shared" si="94"/>
        <v/>
      </c>
      <c r="BB79" s="69"/>
      <c r="BC79" s="68" t="str">
        <f t="shared" si="95"/>
        <v/>
      </c>
      <c r="BD79" s="55"/>
      <c r="BE79" s="36" t="str">
        <f t="shared" si="96"/>
        <v/>
      </c>
      <c r="BF79" s="35" t="str">
        <f t="shared" si="97"/>
        <v/>
      </c>
      <c r="BG79" s="38"/>
      <c r="BH79" s="36" t="str">
        <f t="shared" si="98"/>
        <v/>
      </c>
      <c r="BI79" s="35" t="str">
        <f t="shared" si="99"/>
        <v/>
      </c>
      <c r="BJ79" s="38"/>
      <c r="BK79" s="36" t="str">
        <f t="shared" si="100"/>
        <v/>
      </c>
      <c r="BL79" s="35" t="str">
        <f t="shared" si="101"/>
        <v/>
      </c>
      <c r="BM79" s="38"/>
      <c r="BN79" s="36" t="str">
        <f t="shared" si="102"/>
        <v/>
      </c>
      <c r="BO79" s="35" t="str">
        <f t="shared" si="103"/>
        <v/>
      </c>
      <c r="BP79" s="35" t="str">
        <f t="shared" si="104"/>
        <v/>
      </c>
      <c r="BQ79" s="35" t="str">
        <f t="shared" si="105"/>
        <v/>
      </c>
      <c r="BR79" s="37" t="str">
        <f t="shared" si="110"/>
        <v/>
      </c>
      <c r="BS79" s="1"/>
    </row>
    <row r="80" spans="2:71" ht="70.5" customHeight="1" x14ac:dyDescent="0.25">
      <c r="B80" s="63"/>
      <c r="C80" s="31" t="str">
        <f>IFERROR(VLOOKUP(B80,Table_PrewrittenCode[#All],2,0),"")</f>
        <v/>
      </c>
      <c r="D80" s="32" t="str">
        <f>IFERROR(VLOOKUP(B80,Table_PrewrittenCode[#All],3,0),"")</f>
        <v/>
      </c>
      <c r="E80" s="53"/>
      <c r="F80" s="39" t="str">
        <f t="shared" si="106"/>
        <v/>
      </c>
      <c r="G80" s="54"/>
      <c r="H80" s="29" t="str">
        <f t="shared" si="107"/>
        <v/>
      </c>
      <c r="I80" s="30" t="str">
        <f t="shared" si="108"/>
        <v/>
      </c>
      <c r="J80" s="54"/>
      <c r="K80" s="31" t="str">
        <f t="shared" si="57"/>
        <v/>
      </c>
      <c r="L80" s="32" t="str">
        <f t="shared" si="58"/>
        <v/>
      </c>
      <c r="M80" s="33" t="str">
        <f t="shared" si="59"/>
        <v/>
      </c>
      <c r="N80" s="55"/>
      <c r="O80" s="66" t="str">
        <f t="shared" si="109"/>
        <v/>
      </c>
      <c r="P80" s="65"/>
      <c r="Q80" s="31" t="str">
        <f t="shared" si="60"/>
        <v/>
      </c>
      <c r="R80" s="32" t="str">
        <f t="shared" si="61"/>
        <v/>
      </c>
      <c r="S80" s="34" t="str">
        <f t="shared" si="62"/>
        <v/>
      </c>
      <c r="T80" s="34" t="str">
        <f t="shared" si="63"/>
        <v/>
      </c>
      <c r="U80" s="34" t="str">
        <f t="shared" si="64"/>
        <v/>
      </c>
      <c r="V80" s="34" t="str">
        <f t="shared" si="65"/>
        <v/>
      </c>
      <c r="W80" s="34" t="str">
        <f t="shared" si="66"/>
        <v/>
      </c>
      <c r="X80" s="34" t="str">
        <f t="shared" si="67"/>
        <v/>
      </c>
      <c r="Y80" s="34" t="str">
        <f t="shared" si="68"/>
        <v/>
      </c>
      <c r="Z80" s="34" t="str">
        <f t="shared" si="69"/>
        <v/>
      </c>
      <c r="AA80" s="34" t="str">
        <f t="shared" si="70"/>
        <v/>
      </c>
      <c r="AB80" s="32" t="str">
        <f t="shared" si="71"/>
        <v/>
      </c>
      <c r="AC80" s="35" t="str">
        <f t="shared" si="72"/>
        <v/>
      </c>
      <c r="AD80" s="32" t="str">
        <f t="shared" si="73"/>
        <v/>
      </c>
      <c r="AE80" s="32" t="str">
        <f t="shared" si="74"/>
        <v/>
      </c>
      <c r="AF80" s="32" t="str">
        <f t="shared" si="75"/>
        <v/>
      </c>
      <c r="AG80" s="32" t="str">
        <f t="shared" si="76"/>
        <v/>
      </c>
      <c r="AH80" s="35" t="str">
        <f t="shared" si="77"/>
        <v/>
      </c>
      <c r="AI80" s="32" t="str">
        <f t="shared" si="78"/>
        <v/>
      </c>
      <c r="AJ80" s="35" t="str">
        <f t="shared" si="79"/>
        <v/>
      </c>
      <c r="AK80" s="53" t="str">
        <f t="shared" si="80"/>
        <v/>
      </c>
      <c r="AL80" s="54"/>
      <c r="AM80" s="29" t="str">
        <f t="shared" si="81"/>
        <v/>
      </c>
      <c r="AN80" s="38"/>
      <c r="AO80" s="48" t="str">
        <f t="shared" si="82"/>
        <v/>
      </c>
      <c r="AP80" s="48" t="str">
        <f t="shared" si="83"/>
        <v/>
      </c>
      <c r="AQ80" s="48" t="str">
        <f t="shared" si="84"/>
        <v/>
      </c>
      <c r="AR80" s="48" t="str">
        <f t="shared" si="85"/>
        <v/>
      </c>
      <c r="AS80" s="48" t="str">
        <f t="shared" si="86"/>
        <v/>
      </c>
      <c r="AT80" s="48" t="str">
        <f t="shared" si="87"/>
        <v/>
      </c>
      <c r="AU80" s="48" t="str">
        <f t="shared" si="88"/>
        <v/>
      </c>
      <c r="AV80" s="48" t="str">
        <f t="shared" si="89"/>
        <v/>
      </c>
      <c r="AW80" s="48" t="str">
        <f t="shared" si="90"/>
        <v/>
      </c>
      <c r="AX80" s="48" t="str">
        <f t="shared" si="91"/>
        <v/>
      </c>
      <c r="AY80" s="48" t="str">
        <f t="shared" si="92"/>
        <v/>
      </c>
      <c r="AZ80" s="48" t="str">
        <f t="shared" si="93"/>
        <v/>
      </c>
      <c r="BA80" s="48" t="str">
        <f t="shared" si="94"/>
        <v/>
      </c>
      <c r="BB80" s="69"/>
      <c r="BC80" s="68" t="str">
        <f t="shared" si="95"/>
        <v/>
      </c>
      <c r="BD80" s="55"/>
      <c r="BE80" s="36" t="str">
        <f t="shared" si="96"/>
        <v/>
      </c>
      <c r="BF80" s="35" t="str">
        <f t="shared" si="97"/>
        <v/>
      </c>
      <c r="BG80" s="38"/>
      <c r="BH80" s="36" t="str">
        <f t="shared" si="98"/>
        <v/>
      </c>
      <c r="BI80" s="35" t="str">
        <f t="shared" si="99"/>
        <v/>
      </c>
      <c r="BJ80" s="38"/>
      <c r="BK80" s="36" t="str">
        <f t="shared" si="100"/>
        <v/>
      </c>
      <c r="BL80" s="35" t="str">
        <f t="shared" si="101"/>
        <v/>
      </c>
      <c r="BM80" s="38"/>
      <c r="BN80" s="36" t="str">
        <f t="shared" si="102"/>
        <v/>
      </c>
      <c r="BO80" s="35" t="str">
        <f t="shared" si="103"/>
        <v/>
      </c>
      <c r="BP80" s="35" t="str">
        <f t="shared" si="104"/>
        <v/>
      </c>
      <c r="BQ80" s="35" t="str">
        <f t="shared" si="105"/>
        <v/>
      </c>
      <c r="BR80" s="37" t="str">
        <f t="shared" si="110"/>
        <v/>
      </c>
      <c r="BS80" s="1"/>
    </row>
    <row r="81" spans="2:71" ht="70.5" customHeight="1" x14ac:dyDescent="0.25">
      <c r="B81" s="63"/>
      <c r="C81" s="31" t="str">
        <f>IFERROR(VLOOKUP(B81,Table_PrewrittenCode[#All],2,0),"")</f>
        <v/>
      </c>
      <c r="D81" s="32" t="str">
        <f>IFERROR(VLOOKUP(B81,Table_PrewrittenCode[#All],3,0),"")</f>
        <v/>
      </c>
      <c r="E81" s="53"/>
      <c r="F81" s="39" t="str">
        <f t="shared" si="106"/>
        <v/>
      </c>
      <c r="G81" s="54"/>
      <c r="H81" s="29" t="str">
        <f t="shared" si="107"/>
        <v/>
      </c>
      <c r="I81" s="30" t="str">
        <f t="shared" si="108"/>
        <v/>
      </c>
      <c r="J81" s="54"/>
      <c r="K81" s="31" t="str">
        <f t="shared" si="57"/>
        <v/>
      </c>
      <c r="L81" s="32" t="str">
        <f t="shared" si="58"/>
        <v/>
      </c>
      <c r="M81" s="33" t="str">
        <f t="shared" si="59"/>
        <v/>
      </c>
      <c r="N81" s="55"/>
      <c r="O81" s="66" t="str">
        <f t="shared" si="109"/>
        <v/>
      </c>
      <c r="P81" s="65"/>
      <c r="Q81" s="31" t="str">
        <f t="shared" si="60"/>
        <v/>
      </c>
      <c r="R81" s="32" t="str">
        <f t="shared" si="61"/>
        <v/>
      </c>
      <c r="S81" s="34" t="str">
        <f t="shared" si="62"/>
        <v/>
      </c>
      <c r="T81" s="34" t="str">
        <f t="shared" si="63"/>
        <v/>
      </c>
      <c r="U81" s="34" t="str">
        <f t="shared" si="64"/>
        <v/>
      </c>
      <c r="V81" s="34" t="str">
        <f t="shared" si="65"/>
        <v/>
      </c>
      <c r="W81" s="34" t="str">
        <f t="shared" si="66"/>
        <v/>
      </c>
      <c r="X81" s="34" t="str">
        <f t="shared" si="67"/>
        <v/>
      </c>
      <c r="Y81" s="34" t="str">
        <f t="shared" si="68"/>
        <v/>
      </c>
      <c r="Z81" s="34" t="str">
        <f t="shared" si="69"/>
        <v/>
      </c>
      <c r="AA81" s="34" t="str">
        <f t="shared" si="70"/>
        <v/>
      </c>
      <c r="AB81" s="32" t="str">
        <f t="shared" si="71"/>
        <v/>
      </c>
      <c r="AC81" s="35" t="str">
        <f t="shared" si="72"/>
        <v/>
      </c>
      <c r="AD81" s="32" t="str">
        <f t="shared" si="73"/>
        <v/>
      </c>
      <c r="AE81" s="32" t="str">
        <f t="shared" si="74"/>
        <v/>
      </c>
      <c r="AF81" s="32" t="str">
        <f t="shared" si="75"/>
        <v/>
      </c>
      <c r="AG81" s="32" t="str">
        <f t="shared" si="76"/>
        <v/>
      </c>
      <c r="AH81" s="35" t="str">
        <f t="shared" si="77"/>
        <v/>
      </c>
      <c r="AI81" s="32" t="str">
        <f t="shared" si="78"/>
        <v/>
      </c>
      <c r="AJ81" s="35" t="str">
        <f t="shared" si="79"/>
        <v/>
      </c>
      <c r="AK81" s="53" t="str">
        <f t="shared" si="80"/>
        <v/>
      </c>
      <c r="AL81" s="54"/>
      <c r="AM81" s="29" t="str">
        <f t="shared" si="81"/>
        <v/>
      </c>
      <c r="AN81" s="38"/>
      <c r="AO81" s="48" t="str">
        <f t="shared" si="82"/>
        <v/>
      </c>
      <c r="AP81" s="48" t="str">
        <f t="shared" si="83"/>
        <v/>
      </c>
      <c r="AQ81" s="48" t="str">
        <f t="shared" si="84"/>
        <v/>
      </c>
      <c r="AR81" s="48" t="str">
        <f t="shared" si="85"/>
        <v/>
      </c>
      <c r="AS81" s="48" t="str">
        <f t="shared" si="86"/>
        <v/>
      </c>
      <c r="AT81" s="48" t="str">
        <f t="shared" si="87"/>
        <v/>
      </c>
      <c r="AU81" s="48" t="str">
        <f t="shared" si="88"/>
        <v/>
      </c>
      <c r="AV81" s="48" t="str">
        <f t="shared" si="89"/>
        <v/>
      </c>
      <c r="AW81" s="48" t="str">
        <f t="shared" si="90"/>
        <v/>
      </c>
      <c r="AX81" s="48" t="str">
        <f t="shared" si="91"/>
        <v/>
      </c>
      <c r="AY81" s="48" t="str">
        <f t="shared" si="92"/>
        <v/>
      </c>
      <c r="AZ81" s="48" t="str">
        <f t="shared" si="93"/>
        <v/>
      </c>
      <c r="BA81" s="48" t="str">
        <f t="shared" si="94"/>
        <v/>
      </c>
      <c r="BB81" s="69"/>
      <c r="BC81" s="68" t="str">
        <f t="shared" si="95"/>
        <v/>
      </c>
      <c r="BD81" s="55"/>
      <c r="BE81" s="36" t="str">
        <f t="shared" si="96"/>
        <v/>
      </c>
      <c r="BF81" s="35" t="str">
        <f t="shared" si="97"/>
        <v/>
      </c>
      <c r="BG81" s="38"/>
      <c r="BH81" s="36" t="str">
        <f t="shared" si="98"/>
        <v/>
      </c>
      <c r="BI81" s="35" t="str">
        <f t="shared" si="99"/>
        <v/>
      </c>
      <c r="BJ81" s="38"/>
      <c r="BK81" s="36" t="str">
        <f t="shared" si="100"/>
        <v/>
      </c>
      <c r="BL81" s="35" t="str">
        <f t="shared" si="101"/>
        <v/>
      </c>
      <c r="BM81" s="38"/>
      <c r="BN81" s="36" t="str">
        <f t="shared" si="102"/>
        <v/>
      </c>
      <c r="BO81" s="35" t="str">
        <f t="shared" si="103"/>
        <v/>
      </c>
      <c r="BP81" s="35" t="str">
        <f t="shared" si="104"/>
        <v/>
      </c>
      <c r="BQ81" s="35" t="str">
        <f t="shared" si="105"/>
        <v/>
      </c>
      <c r="BR81" s="37" t="str">
        <f t="shared" si="110"/>
        <v/>
      </c>
      <c r="BS81" s="1"/>
    </row>
    <row r="82" spans="2:71" ht="70.5" customHeight="1" x14ac:dyDescent="0.25">
      <c r="B82" s="63"/>
      <c r="C82" s="31" t="str">
        <f>IFERROR(VLOOKUP(B82,Table_PrewrittenCode[#All],2,0),"")</f>
        <v/>
      </c>
      <c r="D82" s="32" t="str">
        <f>IFERROR(VLOOKUP(B82,Table_PrewrittenCode[#All],3,0),"")</f>
        <v/>
      </c>
      <c r="E82" s="53"/>
      <c r="F82" s="39" t="str">
        <f t="shared" si="106"/>
        <v/>
      </c>
      <c r="G82" s="54"/>
      <c r="H82" s="29" t="str">
        <f t="shared" si="107"/>
        <v/>
      </c>
      <c r="I82" s="30" t="str">
        <f t="shared" si="108"/>
        <v/>
      </c>
      <c r="J82" s="54"/>
      <c r="K82" s="31" t="str">
        <f t="shared" si="57"/>
        <v/>
      </c>
      <c r="L82" s="32" t="str">
        <f t="shared" si="58"/>
        <v/>
      </c>
      <c r="M82" s="33" t="str">
        <f t="shared" si="59"/>
        <v/>
      </c>
      <c r="N82" s="55"/>
      <c r="O82" s="66" t="str">
        <f t="shared" si="109"/>
        <v/>
      </c>
      <c r="P82" s="65"/>
      <c r="Q82" s="31" t="str">
        <f t="shared" si="60"/>
        <v/>
      </c>
      <c r="R82" s="32" t="str">
        <f t="shared" si="61"/>
        <v/>
      </c>
      <c r="S82" s="34" t="str">
        <f t="shared" si="62"/>
        <v/>
      </c>
      <c r="T82" s="34" t="str">
        <f t="shared" si="63"/>
        <v/>
      </c>
      <c r="U82" s="34" t="str">
        <f t="shared" si="64"/>
        <v/>
      </c>
      <c r="V82" s="34" t="str">
        <f t="shared" si="65"/>
        <v/>
      </c>
      <c r="W82" s="34" t="str">
        <f t="shared" si="66"/>
        <v/>
      </c>
      <c r="X82" s="34" t="str">
        <f t="shared" si="67"/>
        <v/>
      </c>
      <c r="Y82" s="34" t="str">
        <f t="shared" si="68"/>
        <v/>
      </c>
      <c r="Z82" s="34" t="str">
        <f t="shared" si="69"/>
        <v/>
      </c>
      <c r="AA82" s="34" t="str">
        <f t="shared" si="70"/>
        <v/>
      </c>
      <c r="AB82" s="32" t="str">
        <f t="shared" si="71"/>
        <v/>
      </c>
      <c r="AC82" s="35" t="str">
        <f t="shared" si="72"/>
        <v/>
      </c>
      <c r="AD82" s="32" t="str">
        <f t="shared" si="73"/>
        <v/>
      </c>
      <c r="AE82" s="32" t="str">
        <f t="shared" si="74"/>
        <v/>
      </c>
      <c r="AF82" s="32" t="str">
        <f t="shared" si="75"/>
        <v/>
      </c>
      <c r="AG82" s="32" t="str">
        <f t="shared" si="76"/>
        <v/>
      </c>
      <c r="AH82" s="35" t="str">
        <f t="shared" si="77"/>
        <v/>
      </c>
      <c r="AI82" s="32" t="str">
        <f t="shared" si="78"/>
        <v/>
      </c>
      <c r="AJ82" s="35" t="str">
        <f t="shared" si="79"/>
        <v/>
      </c>
      <c r="AK82" s="53" t="str">
        <f t="shared" si="80"/>
        <v/>
      </c>
      <c r="AL82" s="54"/>
      <c r="AM82" s="29" t="str">
        <f t="shared" si="81"/>
        <v/>
      </c>
      <c r="AN82" s="38"/>
      <c r="AO82" s="48" t="str">
        <f t="shared" si="82"/>
        <v/>
      </c>
      <c r="AP82" s="48" t="str">
        <f t="shared" si="83"/>
        <v/>
      </c>
      <c r="AQ82" s="48" t="str">
        <f t="shared" si="84"/>
        <v/>
      </c>
      <c r="AR82" s="48" t="str">
        <f t="shared" si="85"/>
        <v/>
      </c>
      <c r="AS82" s="48" t="str">
        <f t="shared" si="86"/>
        <v/>
      </c>
      <c r="AT82" s="48" t="str">
        <f t="shared" si="87"/>
        <v/>
      </c>
      <c r="AU82" s="48" t="str">
        <f t="shared" si="88"/>
        <v/>
      </c>
      <c r="AV82" s="48" t="str">
        <f t="shared" si="89"/>
        <v/>
      </c>
      <c r="AW82" s="48" t="str">
        <f t="shared" si="90"/>
        <v/>
      </c>
      <c r="AX82" s="48" t="str">
        <f t="shared" si="91"/>
        <v/>
      </c>
      <c r="AY82" s="48" t="str">
        <f t="shared" si="92"/>
        <v/>
      </c>
      <c r="AZ82" s="48" t="str">
        <f t="shared" si="93"/>
        <v/>
      </c>
      <c r="BA82" s="48" t="str">
        <f t="shared" si="94"/>
        <v/>
      </c>
      <c r="BB82" s="69"/>
      <c r="BC82" s="68" t="str">
        <f t="shared" si="95"/>
        <v/>
      </c>
      <c r="BD82" s="55"/>
      <c r="BE82" s="36" t="str">
        <f t="shared" si="96"/>
        <v/>
      </c>
      <c r="BF82" s="35" t="str">
        <f t="shared" si="97"/>
        <v/>
      </c>
      <c r="BG82" s="38"/>
      <c r="BH82" s="36" t="str">
        <f t="shared" si="98"/>
        <v/>
      </c>
      <c r="BI82" s="35" t="str">
        <f t="shared" si="99"/>
        <v/>
      </c>
      <c r="BJ82" s="38"/>
      <c r="BK82" s="36" t="str">
        <f t="shared" si="100"/>
        <v/>
      </c>
      <c r="BL82" s="35" t="str">
        <f t="shared" si="101"/>
        <v/>
      </c>
      <c r="BM82" s="38"/>
      <c r="BN82" s="36" t="str">
        <f t="shared" si="102"/>
        <v/>
      </c>
      <c r="BO82" s="35" t="str">
        <f t="shared" si="103"/>
        <v/>
      </c>
      <c r="BP82" s="35" t="str">
        <f t="shared" si="104"/>
        <v/>
      </c>
      <c r="BQ82" s="35" t="str">
        <f t="shared" si="105"/>
        <v/>
      </c>
      <c r="BR82" s="37" t="str">
        <f t="shared" si="110"/>
        <v/>
      </c>
      <c r="BS82" s="1"/>
    </row>
    <row r="83" spans="2:71" ht="70.5" customHeight="1" x14ac:dyDescent="0.25">
      <c r="B83" s="63"/>
      <c r="C83" s="31" t="str">
        <f>IFERROR(VLOOKUP(B83,Table_PrewrittenCode[#All],2,0),"")</f>
        <v/>
      </c>
      <c r="D83" s="32" t="str">
        <f>IFERROR(VLOOKUP(B83,Table_PrewrittenCode[#All],3,0),"")</f>
        <v/>
      </c>
      <c r="E83" s="53"/>
      <c r="F83" s="39" t="str">
        <f t="shared" si="106"/>
        <v/>
      </c>
      <c r="G83" s="54"/>
      <c r="H83" s="29" t="str">
        <f t="shared" si="107"/>
        <v/>
      </c>
      <c r="I83" s="30" t="str">
        <f t="shared" si="108"/>
        <v/>
      </c>
      <c r="J83" s="54"/>
      <c r="K83" s="31" t="str">
        <f t="shared" si="57"/>
        <v/>
      </c>
      <c r="L83" s="32" t="str">
        <f t="shared" si="58"/>
        <v/>
      </c>
      <c r="M83" s="33" t="str">
        <f t="shared" si="59"/>
        <v/>
      </c>
      <c r="N83" s="55"/>
      <c r="O83" s="66" t="str">
        <f t="shared" si="109"/>
        <v/>
      </c>
      <c r="P83" s="65"/>
      <c r="Q83" s="31" t="str">
        <f t="shared" si="60"/>
        <v/>
      </c>
      <c r="R83" s="32" t="str">
        <f t="shared" si="61"/>
        <v/>
      </c>
      <c r="S83" s="34" t="str">
        <f t="shared" si="62"/>
        <v/>
      </c>
      <c r="T83" s="34" t="str">
        <f t="shared" si="63"/>
        <v/>
      </c>
      <c r="U83" s="34" t="str">
        <f t="shared" si="64"/>
        <v/>
      </c>
      <c r="V83" s="34" t="str">
        <f t="shared" si="65"/>
        <v/>
      </c>
      <c r="W83" s="34" t="str">
        <f t="shared" si="66"/>
        <v/>
      </c>
      <c r="X83" s="34" t="str">
        <f t="shared" si="67"/>
        <v/>
      </c>
      <c r="Y83" s="34" t="str">
        <f t="shared" si="68"/>
        <v/>
      </c>
      <c r="Z83" s="34" t="str">
        <f t="shared" si="69"/>
        <v/>
      </c>
      <c r="AA83" s="34" t="str">
        <f t="shared" si="70"/>
        <v/>
      </c>
      <c r="AB83" s="32" t="str">
        <f t="shared" si="71"/>
        <v/>
      </c>
      <c r="AC83" s="35" t="str">
        <f t="shared" si="72"/>
        <v/>
      </c>
      <c r="AD83" s="32" t="str">
        <f t="shared" si="73"/>
        <v/>
      </c>
      <c r="AE83" s="32" t="str">
        <f t="shared" si="74"/>
        <v/>
      </c>
      <c r="AF83" s="32" t="str">
        <f t="shared" si="75"/>
        <v/>
      </c>
      <c r="AG83" s="32" t="str">
        <f t="shared" si="76"/>
        <v/>
      </c>
      <c r="AH83" s="35" t="str">
        <f t="shared" si="77"/>
        <v/>
      </c>
      <c r="AI83" s="32" t="str">
        <f t="shared" si="78"/>
        <v/>
      </c>
      <c r="AJ83" s="35" t="str">
        <f t="shared" si="79"/>
        <v/>
      </c>
      <c r="AK83" s="53" t="str">
        <f t="shared" si="80"/>
        <v/>
      </c>
      <c r="AL83" s="54"/>
      <c r="AM83" s="29" t="str">
        <f t="shared" si="81"/>
        <v/>
      </c>
      <c r="AN83" s="38"/>
      <c r="AO83" s="48" t="str">
        <f t="shared" si="82"/>
        <v/>
      </c>
      <c r="AP83" s="48" t="str">
        <f t="shared" si="83"/>
        <v/>
      </c>
      <c r="AQ83" s="48" t="str">
        <f t="shared" si="84"/>
        <v/>
      </c>
      <c r="AR83" s="48" t="str">
        <f t="shared" si="85"/>
        <v/>
      </c>
      <c r="AS83" s="48" t="str">
        <f t="shared" si="86"/>
        <v/>
      </c>
      <c r="AT83" s="48" t="str">
        <f t="shared" si="87"/>
        <v/>
      </c>
      <c r="AU83" s="48" t="str">
        <f t="shared" si="88"/>
        <v/>
      </c>
      <c r="AV83" s="48" t="str">
        <f t="shared" si="89"/>
        <v/>
      </c>
      <c r="AW83" s="48" t="str">
        <f t="shared" si="90"/>
        <v/>
      </c>
      <c r="AX83" s="48" t="str">
        <f t="shared" si="91"/>
        <v/>
      </c>
      <c r="AY83" s="48" t="str">
        <f t="shared" si="92"/>
        <v/>
      </c>
      <c r="AZ83" s="48" t="str">
        <f t="shared" si="93"/>
        <v/>
      </c>
      <c r="BA83" s="48" t="str">
        <f t="shared" si="94"/>
        <v/>
      </c>
      <c r="BB83" s="69"/>
      <c r="BC83" s="68" t="str">
        <f t="shared" si="95"/>
        <v/>
      </c>
      <c r="BD83" s="55"/>
      <c r="BE83" s="36" t="str">
        <f t="shared" si="96"/>
        <v/>
      </c>
      <c r="BF83" s="35" t="str">
        <f t="shared" si="97"/>
        <v/>
      </c>
      <c r="BG83" s="38"/>
      <c r="BH83" s="36" t="str">
        <f t="shared" si="98"/>
        <v/>
      </c>
      <c r="BI83" s="35" t="str">
        <f t="shared" si="99"/>
        <v/>
      </c>
      <c r="BJ83" s="38"/>
      <c r="BK83" s="36" t="str">
        <f t="shared" si="100"/>
        <v/>
      </c>
      <c r="BL83" s="35" t="str">
        <f t="shared" si="101"/>
        <v/>
      </c>
      <c r="BM83" s="38"/>
      <c r="BN83" s="36" t="str">
        <f t="shared" si="102"/>
        <v/>
      </c>
      <c r="BO83" s="35" t="str">
        <f t="shared" si="103"/>
        <v/>
      </c>
      <c r="BP83" s="35" t="str">
        <f t="shared" si="104"/>
        <v/>
      </c>
      <c r="BQ83" s="35" t="str">
        <f t="shared" si="105"/>
        <v/>
      </c>
      <c r="BR83" s="37" t="str">
        <f t="shared" si="110"/>
        <v/>
      </c>
      <c r="BS83" s="1"/>
    </row>
    <row r="84" spans="2:71" ht="70.5" customHeight="1" x14ac:dyDescent="0.25">
      <c r="B84" s="63"/>
      <c r="C84" s="31" t="str">
        <f>IFERROR(VLOOKUP(B84,Table_PrewrittenCode[#All],2,0),"")</f>
        <v/>
      </c>
      <c r="D84" s="32" t="str">
        <f>IFERROR(VLOOKUP(B84,Table_PrewrittenCode[#All],3,0),"")</f>
        <v/>
      </c>
      <c r="E84" s="53"/>
      <c r="F84" s="39" t="str">
        <f t="shared" si="106"/>
        <v/>
      </c>
      <c r="G84" s="54"/>
      <c r="H84" s="29" t="str">
        <f t="shared" si="107"/>
        <v/>
      </c>
      <c r="I84" s="30" t="str">
        <f t="shared" si="108"/>
        <v/>
      </c>
      <c r="J84" s="54"/>
      <c r="K84" s="31" t="str">
        <f t="shared" si="57"/>
        <v/>
      </c>
      <c r="L84" s="32" t="str">
        <f t="shared" si="58"/>
        <v/>
      </c>
      <c r="M84" s="33" t="str">
        <f t="shared" si="59"/>
        <v/>
      </c>
      <c r="N84" s="55"/>
      <c r="O84" s="66" t="str">
        <f t="shared" si="109"/>
        <v/>
      </c>
      <c r="P84" s="65"/>
      <c r="Q84" s="31" t="str">
        <f t="shared" si="60"/>
        <v/>
      </c>
      <c r="R84" s="32" t="str">
        <f t="shared" si="61"/>
        <v/>
      </c>
      <c r="S84" s="34" t="str">
        <f t="shared" si="62"/>
        <v/>
      </c>
      <c r="T84" s="34" t="str">
        <f t="shared" si="63"/>
        <v/>
      </c>
      <c r="U84" s="34" t="str">
        <f t="shared" si="64"/>
        <v/>
      </c>
      <c r="V84" s="34" t="str">
        <f t="shared" si="65"/>
        <v/>
      </c>
      <c r="W84" s="34" t="str">
        <f t="shared" si="66"/>
        <v/>
      </c>
      <c r="X84" s="34" t="str">
        <f t="shared" si="67"/>
        <v/>
      </c>
      <c r="Y84" s="34" t="str">
        <f t="shared" si="68"/>
        <v/>
      </c>
      <c r="Z84" s="34" t="str">
        <f t="shared" si="69"/>
        <v/>
      </c>
      <c r="AA84" s="34" t="str">
        <f t="shared" si="70"/>
        <v/>
      </c>
      <c r="AB84" s="32" t="str">
        <f t="shared" si="71"/>
        <v/>
      </c>
      <c r="AC84" s="35" t="str">
        <f t="shared" si="72"/>
        <v/>
      </c>
      <c r="AD84" s="32" t="str">
        <f t="shared" si="73"/>
        <v/>
      </c>
      <c r="AE84" s="32" t="str">
        <f t="shared" si="74"/>
        <v/>
      </c>
      <c r="AF84" s="32" t="str">
        <f t="shared" si="75"/>
        <v/>
      </c>
      <c r="AG84" s="32" t="str">
        <f t="shared" si="76"/>
        <v/>
      </c>
      <c r="AH84" s="35" t="str">
        <f t="shared" si="77"/>
        <v/>
      </c>
      <c r="AI84" s="32" t="str">
        <f t="shared" si="78"/>
        <v/>
      </c>
      <c r="AJ84" s="35" t="str">
        <f t="shared" si="79"/>
        <v/>
      </c>
      <c r="AK84" s="53" t="str">
        <f t="shared" si="80"/>
        <v/>
      </c>
      <c r="AL84" s="54"/>
      <c r="AM84" s="29" t="str">
        <f t="shared" si="81"/>
        <v/>
      </c>
      <c r="AN84" s="38"/>
      <c r="AO84" s="48" t="str">
        <f t="shared" si="82"/>
        <v/>
      </c>
      <c r="AP84" s="48" t="str">
        <f t="shared" si="83"/>
        <v/>
      </c>
      <c r="AQ84" s="48" t="str">
        <f t="shared" si="84"/>
        <v/>
      </c>
      <c r="AR84" s="48" t="str">
        <f t="shared" si="85"/>
        <v/>
      </c>
      <c r="AS84" s="48" t="str">
        <f t="shared" si="86"/>
        <v/>
      </c>
      <c r="AT84" s="48" t="str">
        <f t="shared" si="87"/>
        <v/>
      </c>
      <c r="AU84" s="48" t="str">
        <f t="shared" si="88"/>
        <v/>
      </c>
      <c r="AV84" s="48" t="str">
        <f t="shared" si="89"/>
        <v/>
      </c>
      <c r="AW84" s="48" t="str">
        <f t="shared" si="90"/>
        <v/>
      </c>
      <c r="AX84" s="48" t="str">
        <f t="shared" si="91"/>
        <v/>
      </c>
      <c r="AY84" s="48" t="str">
        <f t="shared" si="92"/>
        <v/>
      </c>
      <c r="AZ84" s="48" t="str">
        <f t="shared" si="93"/>
        <v/>
      </c>
      <c r="BA84" s="48" t="str">
        <f t="shared" si="94"/>
        <v/>
      </c>
      <c r="BB84" s="69"/>
      <c r="BC84" s="68" t="str">
        <f t="shared" si="95"/>
        <v/>
      </c>
      <c r="BD84" s="55"/>
      <c r="BE84" s="36" t="str">
        <f t="shared" si="96"/>
        <v/>
      </c>
      <c r="BF84" s="35" t="str">
        <f t="shared" si="97"/>
        <v/>
      </c>
      <c r="BG84" s="38"/>
      <c r="BH84" s="36" t="str">
        <f t="shared" si="98"/>
        <v/>
      </c>
      <c r="BI84" s="35" t="str">
        <f t="shared" si="99"/>
        <v/>
      </c>
      <c r="BJ84" s="38"/>
      <c r="BK84" s="36" t="str">
        <f t="shared" si="100"/>
        <v/>
      </c>
      <c r="BL84" s="35" t="str">
        <f t="shared" si="101"/>
        <v/>
      </c>
      <c r="BM84" s="38"/>
      <c r="BN84" s="36" t="str">
        <f t="shared" si="102"/>
        <v/>
      </c>
      <c r="BO84" s="35" t="str">
        <f t="shared" si="103"/>
        <v/>
      </c>
      <c r="BP84" s="35" t="str">
        <f t="shared" si="104"/>
        <v/>
      </c>
      <c r="BQ84" s="35" t="str">
        <f t="shared" si="105"/>
        <v/>
      </c>
      <c r="BR84" s="37" t="str">
        <f t="shared" si="110"/>
        <v/>
      </c>
      <c r="BS84" s="1"/>
    </row>
    <row r="85" spans="2:71" ht="70.5" customHeight="1" x14ac:dyDescent="0.25">
      <c r="B85" s="63"/>
      <c r="C85" s="31" t="str">
        <f>IFERROR(VLOOKUP(B85,Table_PrewrittenCode[#All],2,0),"")</f>
        <v/>
      </c>
      <c r="D85" s="32" t="str">
        <f>IFERROR(VLOOKUP(B85,Table_PrewrittenCode[#All],3,0),"")</f>
        <v/>
      </c>
      <c r="E85" s="53"/>
      <c r="F85" s="39" t="str">
        <f t="shared" si="106"/>
        <v/>
      </c>
      <c r="G85" s="54"/>
      <c r="H85" s="29" t="str">
        <f t="shared" si="107"/>
        <v/>
      </c>
      <c r="I85" s="30" t="str">
        <f t="shared" si="108"/>
        <v/>
      </c>
      <c r="J85" s="54"/>
      <c r="K85" s="31" t="str">
        <f t="shared" si="57"/>
        <v/>
      </c>
      <c r="L85" s="32" t="str">
        <f t="shared" si="58"/>
        <v/>
      </c>
      <c r="M85" s="33" t="str">
        <f t="shared" si="59"/>
        <v/>
      </c>
      <c r="N85" s="55"/>
      <c r="O85" s="66" t="str">
        <f t="shared" si="109"/>
        <v/>
      </c>
      <c r="P85" s="65"/>
      <c r="Q85" s="31" t="str">
        <f t="shared" si="60"/>
        <v/>
      </c>
      <c r="R85" s="32" t="str">
        <f t="shared" si="61"/>
        <v/>
      </c>
      <c r="S85" s="34" t="str">
        <f t="shared" si="62"/>
        <v/>
      </c>
      <c r="T85" s="34" t="str">
        <f t="shared" si="63"/>
        <v/>
      </c>
      <c r="U85" s="34" t="str">
        <f t="shared" si="64"/>
        <v/>
      </c>
      <c r="V85" s="34" t="str">
        <f t="shared" si="65"/>
        <v/>
      </c>
      <c r="W85" s="34" t="str">
        <f t="shared" si="66"/>
        <v/>
      </c>
      <c r="X85" s="34" t="str">
        <f t="shared" si="67"/>
        <v/>
      </c>
      <c r="Y85" s="34" t="str">
        <f t="shared" si="68"/>
        <v/>
      </c>
      <c r="Z85" s="34" t="str">
        <f t="shared" si="69"/>
        <v/>
      </c>
      <c r="AA85" s="34" t="str">
        <f t="shared" si="70"/>
        <v/>
      </c>
      <c r="AB85" s="32" t="str">
        <f>IF(T85="","",CONCATENATE("Ele.ID Like ",CHAR(34), T85, CHAR(34)))</f>
        <v/>
      </c>
      <c r="AC85" s="35" t="str">
        <f>IF(X85="","",CONCATENATE("Ele.innerHTML Like ",CHAR(34),X85,CHAR(34)))</f>
        <v/>
      </c>
      <c r="AD85" s="32" t="str">
        <f>IF(U85="","",CONCATENATE("Ele.Name Like ",CHAR(34),U85,CHAR(34)))</f>
        <v/>
      </c>
      <c r="AE85" s="32" t="str">
        <f>IF(Y85="","",CONCATENATE("Ele.Title Like ",CHAR(34),Y85,CHAR(34)))</f>
        <v/>
      </c>
      <c r="AF85" s="32" t="str">
        <f>IF(Z85="","",CONCATENATE("Ele.Value Like ",CHAR(34),Z85,CHAR(34)))</f>
        <v/>
      </c>
      <c r="AG85" s="32" t="str">
        <f>IF(AA85="","",CONCATENATE("Ele.TabIndex Like ",CHAR(34),AA85,CHAR(34)))</f>
        <v/>
      </c>
      <c r="AH85" s="35" t="str">
        <f t="shared" si="77"/>
        <v/>
      </c>
      <c r="AI85" s="32" t="str">
        <f>IF(W85="","",CONCATENATE("Ele.Classname Like ",CHAR(34),W85,CHAR(34)))</f>
        <v/>
      </c>
      <c r="AJ85" s="35" t="str">
        <f t="shared" si="79"/>
        <v/>
      </c>
      <c r="AK85" s="53" t="str">
        <f t="shared" si="80"/>
        <v/>
      </c>
      <c r="AL85" s="54"/>
      <c r="AM85" s="29" t="str">
        <f>IF(ISBLANK($AK85),"",IF(ISBLANK($AL85),$AK85,CONCATENATE($AK85, " And ", $AL85)))</f>
        <v/>
      </c>
      <c r="AN85" s="38"/>
      <c r="AO85" s="48" t="str">
        <f>IF(ISBLANK($AN85),IF($AM85="","",CONCATENATE($AM85)),CONCATENATE($AM85, " And ", $AN85))</f>
        <v/>
      </c>
      <c r="AP85" s="48" t="str">
        <f>IF(T85&lt;&gt;"","GetElementbyID"&amp;CHAR(40) &amp; CHAR(34) &amp; T85 &amp; CHAR(34) &amp; CHAR(41),IF(V85&lt;&gt;"","GetElementsbyClassName"&amp;CHAR(40) &amp; CHAR(34) &amp; V85 &amp; CHAR(34) &amp; CHAR(41),IF(U85&lt;&gt;"","GetElementsbyName"&amp;CHAR(40) &amp; CHAR(34) &amp; U85 &amp; CHAR(34) &amp; CHAR(41),IF(S85&lt;&gt;"","GetElementsbyTagName"&amp;CHAR(40) &amp; CHAR(34) &amp; S85 &amp; CHAR(34) &amp; CHAR(41),""))))</f>
        <v/>
      </c>
      <c r="AQ85" s="48" t="str">
        <f t="shared" si="84"/>
        <v/>
      </c>
      <c r="AR85" s="48" t="str">
        <f t="shared" si="85"/>
        <v/>
      </c>
      <c r="AS85" s="48" t="str">
        <f t="shared" si="86"/>
        <v/>
      </c>
      <c r="AT85" s="48" t="str">
        <f t="shared" si="87"/>
        <v/>
      </c>
      <c r="AU85" s="48" t="str">
        <f t="shared" si="88"/>
        <v/>
      </c>
      <c r="AV85" s="48" t="str">
        <f t="shared" si="89"/>
        <v/>
      </c>
      <c r="AW85" s="48" t="str">
        <f t="shared" si="90"/>
        <v/>
      </c>
      <c r="AX85" s="48" t="str">
        <f t="shared" si="91"/>
        <v/>
      </c>
      <c r="AY85" s="48" t="str">
        <f t="shared" si="92"/>
        <v/>
      </c>
      <c r="AZ85" s="48" t="str">
        <f t="shared" si="93"/>
        <v/>
      </c>
      <c r="BA85" s="48" t="str">
        <f t="shared" si="94"/>
        <v/>
      </c>
      <c r="BB85" s="69"/>
      <c r="BC85" s="68" t="str">
        <f>IF(BB85="","",CONCATENATE("Ele.Value = " &amp; CHAR(34), BB85 &amp;CHAR(34)))</f>
        <v/>
      </c>
      <c r="BD85" s="55"/>
      <c r="BE85" s="36" t="str">
        <f>IF(BD85="","",CONCATENATE("            Ele.Value = " &amp; CHAR(34), BD85 &amp;CHAR(34)))</f>
        <v/>
      </c>
      <c r="BF85" s="35" t="str">
        <f>IF($BE85="",$BC85,CONCATENATE(BC85, CHAR(10),BE85))</f>
        <v/>
      </c>
      <c r="BG85" s="38"/>
      <c r="BH85" s="36" t="str">
        <f>IF(BG85="","",CONCATENATE("            Ele.Value = " &amp; CHAR(34), BG85 &amp;CHAR(34)))</f>
        <v/>
      </c>
      <c r="BI85" s="35" t="str">
        <f>IF($BH85="",$BF85,CONCATENATE(BF85, CHAR(10),BH85))</f>
        <v/>
      </c>
      <c r="BJ85" s="38"/>
      <c r="BK85" s="36" t="str">
        <f>IF(BJ85="","",CONCATENATE("            Ele.Value = " &amp; CHAR(34), BJ85 &amp;CHAR(34)))</f>
        <v/>
      </c>
      <c r="BL85" s="35" t="str">
        <f>IF($BJ85="",$BI85,CONCATENATE(BI85, CHAR(10),BK85))</f>
        <v/>
      </c>
      <c r="BM85" s="38"/>
      <c r="BN85" s="36" t="str">
        <f>IF(BM85="","",CONCATENATE("            Ele.Value = " &amp; CHAR(34), BM85 &amp;CHAR(34)))</f>
        <v/>
      </c>
      <c r="BO85" s="35" t="str">
        <f>IF($BN85="",$BL85,CONCATENATE(BL85, CHAR(10),BN85))</f>
        <v/>
      </c>
      <c r="BP85" s="35" t="str">
        <f t="shared" si="104"/>
        <v/>
      </c>
      <c r="BQ85" s="35" t="str">
        <f>SUBSTITUTE($BP85,"!InputStepNumberHere",ROW()-3)</f>
        <v/>
      </c>
      <c r="BR85" s="37" t="str">
        <f t="shared" si="110"/>
        <v/>
      </c>
      <c r="BS85" s="1"/>
    </row>
    <row r="86" spans="2:71" ht="70.5" customHeight="1" x14ac:dyDescent="0.25">
      <c r="B86" s="63"/>
      <c r="C86" s="64" t="str">
        <f>IFERROR(VLOOKUP(B86,Table_PrewrittenCode[#All],2,0),"")</f>
        <v/>
      </c>
      <c r="D86" s="32" t="str">
        <f>IFERROR(VLOOKUP(B86,Table_PrewrittenCode[#All],3,0),"")</f>
        <v/>
      </c>
      <c r="E86" s="54"/>
      <c r="F86" s="58" t="str">
        <f>IF(E86="",$C86,SUBSTITUTE($C86,"!InputTitleHere",$E86))</f>
        <v/>
      </c>
      <c r="G86" s="54"/>
      <c r="H86" s="59" t="str">
        <f>CLEAN(G86)</f>
        <v/>
      </c>
      <c r="I86" s="48" t="str">
        <f>IF($H86="",$F86,SUBSTITUTE($F86,"!InputHTMLHere",IF(LEN(H86)&lt;900,$H86,_xlfn.CONCAT(LEFT(H86,900),"... HTML truncated. View full HTML on MacroCreation worksheet."))))</f>
        <v/>
      </c>
      <c r="J86" s="54"/>
      <c r="K86" s="60" t="str">
        <f>IF($J86="",$I86,SUBSTITUTE($I86,"!InputDesiredWebsite",SUBSTITUTE($J86,CHAR(34),CHAR(34) &amp; CHAR(34))))</f>
        <v/>
      </c>
      <c r="L86" s="32"/>
      <c r="M86" s="32" t="str">
        <f>IF(L86&lt;&gt;"",SUBSTITUTE(K86,"!InputJavascriptEventHere",L86),K86)</f>
        <v/>
      </c>
      <c r="N86" s="55"/>
      <c r="O86" s="66" t="str">
        <f t="shared" si="109"/>
        <v/>
      </c>
      <c r="P86" s="65"/>
      <c r="Q86" s="60" t="str">
        <f>SUBSTITUTE($O86,"!InputOnlyTextHere",$P86)</f>
        <v/>
      </c>
      <c r="R86" s="32" t="str">
        <f>IF($N86&lt;&gt;"",SUBSTITUTE($Q86,"!InputTextHere",$N86),IF($P86="",$Q86,SUBSTITUTE($Q86,"!InputTextHere",_xlfn.CONCAT(CHAR(34),$P86,CHAR(34)))))</f>
        <v/>
      </c>
      <c r="S86" s="34" t="str">
        <f>IFERROR(MID($H86,2,SEARCH(" ",$H86,1)-2),"")</f>
        <v/>
      </c>
      <c r="T86" s="32" t="str">
        <f>IFERROR(IF($H86="","",CONCATENATE(LEFT(REPLACE($H86,1,SEARCH(" ID=",$H86)+LEN(" ID="),""),SEARCH("""",REPLACE($H86,1,SEARCH(" ID=",$H86)+LEN(" ID="),""))-1))),"")</f>
        <v/>
      </c>
      <c r="U86" s="32" t="str">
        <f>IFERROR(IF($H86="","",CONCATENATE(LEFT(REPLACE($H86,1,SEARCH(" Name=",$H86)+LEN(" Name="),""),SEARCH("""",REPLACE($H86,1,SEARCH(" Name=",$H86)+LEN(" Name="),""))-1))),"")</f>
        <v/>
      </c>
      <c r="V86" s="32" t="str">
        <f>IFERROR(IF($H86="","",CONCATENATE(LEFT(REPLACE($H86,1,SEARCH(" Class=",$H86)+LEN(" Class="),""),SEARCH("""",REPLACE($H86,1,SEARCH(" Class=",$H86)+LEN(" Class="),""))-1))),"")</f>
        <v/>
      </c>
      <c r="W86" s="32" t="str">
        <f>IFERROR(LEFT(REPLACE($H86,1,SEARCH(" Classname=",$H86)+LEN(" Classname="),""),SEARCH("""",REPLACE($H86,1,SEARCH(" Classname=",$H86)+LEN(" Classname="),""))-1),"")</f>
        <v/>
      </c>
      <c r="X86" s="32" t="str">
        <f>IFERROR(MID($H86,FIND("&gt;",$H86)+1,FIND("&lt;",$H86,2)-FIND("&gt;",$H86)-1),"")</f>
        <v/>
      </c>
      <c r="Y86" s="32" t="str">
        <f>IFERROR(LEFT(REPLACE($H86,1,SEARCH(" Title=",$H86)+LEN(" Title="),""),SEARCH("""",REPLACE($H86,1,SEARCH(" Title=",$H86)+LEN(" Title="),""))-1),"")</f>
        <v/>
      </c>
      <c r="Z86" s="32" t="str">
        <f>IFERROR(LEFT(REPLACE(G86,1,SEARCH(" Value=",G86)+LEN(" Value="),""),SEARCH("""",REPLACE(G86,1,SEARCH(" Value=",G86)+LEN(" Value="),""))-1),"")</f>
        <v/>
      </c>
      <c r="AA86" s="32" t="str">
        <f>IFERROR(LEFT(REPLACE($H86,1,SEARCH(" TabIndex=",$H86)+LEN(" TabIndex="),""),SEARCH("""",REPLACE($H86,1,SEARCH(" TabIndex=",$H86)+LEN(" TabIndex="),""))-1),"")</f>
        <v/>
      </c>
      <c r="AB86" s="32" t="str">
        <f>IF(T86="","",CONCATENATE("Ele.ID Like ",CHAR(34), T86, CHAR(34)))</f>
        <v/>
      </c>
      <c r="AC86" s="35" t="str">
        <f>IF(X86="","",CONCATENATE("Ele.innerHTML Like ",CHAR(34),X86,CHAR(34)))</f>
        <v/>
      </c>
      <c r="AD86" s="32" t="str">
        <f>IF(U86="","",CONCATENATE("Ele.Name Like ",CHAR(34),U86,CHAR(34)))</f>
        <v/>
      </c>
      <c r="AE86" s="32" t="str">
        <f>IF(Y86="","",CONCATENATE("Ele.Title Like ",CHAR(34),Y86,CHAR(34)))</f>
        <v/>
      </c>
      <c r="AF86" s="32" t="str">
        <f>IF(Z86="","",CONCATENATE("Ele.Value Like ",CHAR(34),Z86,CHAR(34)))</f>
        <v/>
      </c>
      <c r="AG86" s="32" t="str">
        <f>IF(AA86="","",CONCATENATE("Ele.TabIndex Like ",CHAR(34),AA86,CHAR(34)))</f>
        <v/>
      </c>
      <c r="AH86" s="32" t="str">
        <f>IF(V86="","",CONCATENATE("Ele.ClassName Like ",CHAR(34),V86,CHAR(34)))</f>
        <v/>
      </c>
      <c r="AI86" s="32" t="str">
        <f>IF(W86="","",CONCATENATE("Ele.Classname Like ",CHAR(34),W86,CHAR(34)))</f>
        <v/>
      </c>
      <c r="AJ86" s="32" t="str">
        <f>IF(OR(B86="Enter Text",B86="Click Button",B86="Select Option"),IF(AB86&lt;&gt;"",AB86,IF(AD86&lt;&gt;"",AD86,IF(AE86&lt;&gt;"",AE86,IF(AF86&lt;&gt;"",AF86,IF(AH86&lt;&gt;"",AH86,IF(AI86&lt;&gt;"",AI86,IF(AG86&lt;&gt;"",AG86,IF(AC86&lt;&gt;"",AC86,"")))))))),"")</f>
        <v/>
      </c>
      <c r="AK86" s="61" t="str">
        <f>AJ86</f>
        <v/>
      </c>
      <c r="AL86" s="54"/>
      <c r="AM86" s="60" t="str">
        <f>IF(ISBLANK($AK86),"",IF(ISBLANK($AL86),$AK86,CONCATENATE($AK86, " And ", $AL86)))</f>
        <v/>
      </c>
      <c r="AN86" s="38"/>
      <c r="AO86" s="32" t="str">
        <f>IF(ISBLANK($AN86),IF($AM86="","",CONCATENATE($AM86)),CONCATENATE($AM86, " And ", $AN86))</f>
        <v/>
      </c>
      <c r="AP86" s="32" t="str">
        <f>IF(T86&lt;&gt;"","GetElementbyID"&amp;CHAR(40) &amp; CHAR(34) &amp; T86 &amp; CHAR(34) &amp; CHAR(41),IF(V86&lt;&gt;"","GetElementsbyClassName"&amp;CHAR(40) &amp; CHAR(34) &amp; V86 &amp; CHAR(34) &amp; CHAR(41),IF(U86&lt;&gt;"","GetElementsbyName"&amp;CHAR(40) &amp; CHAR(34) &amp; U86 &amp; CHAR(34) &amp; CHAR(41),IF(S86&lt;&gt;"","GetElementsbyTagName"&amp;CHAR(40) &amp; CHAR(34) &amp; S86 &amp; CHAR(34) &amp; CHAR(41),""))))</f>
        <v/>
      </c>
      <c r="AQ86" s="32" t="str">
        <f>IF(T86&lt;&gt;"","GetElementbyID"&amp;CHAR(40)&amp;CHAR(34)&amp;T86&amp;CHAR(34)&amp;CHAR(41),IF(S86&lt;&gt;"","GetElementsbyTagName"&amp;CHAR(40)&amp;CHAR(34)&amp;S86&amp;CHAR(34)&amp;CHAR(41),""))</f>
        <v/>
      </c>
      <c r="AR86" s="32" t="str">
        <f>IF($AP86="",$R86,SUBSTITUTE($R86,"!InputMostSpecificSelectorHere",$AP86))</f>
        <v/>
      </c>
      <c r="AS86" s="32" t="str">
        <f>IF(AQ86="",AR86,SUBSTITUTE(AR86,"!InputMostSpecificOptionSelectorHere",AQ86))</f>
        <v/>
      </c>
      <c r="AT86" s="32" t="str">
        <f>IF(ISNUMBER(SEARCH("GetElementbyID",AQ86)),SUBSTITUTE(AS86,"!InputTagorIDElementWithorWithoutOptionsHere","TagorIDElement.Options"),IF(ISNUMBER(SEARCH("GetElementsbyTagName",AQ86)),SUBSTITUTE(AS86,"!InputTagorIDElementWithorWithoutOptionsHere","TagorIDElement"),AS86))</f>
        <v/>
      </c>
      <c r="AU86" s="32" t="str">
        <f>IF(ISNUMBER(SEARCH("GetElementbyID",AQ86)),SUBSTITUTE(AT86,"!InputOptionforIDorOptionSelectorsHere1","If !InputOptionSelection(s)Here Then"),IF(ISNUMBER(SEARCH("GetElementsbyTagName",AQ86)),SUBSTITUTE(AT86,"!InputOptionforIDorOptionSelectorsHere1","If !InputElementSelector(s)Here Then"),AT86))</f>
        <v/>
      </c>
      <c r="AV86" s="32" t="str">
        <f>IF(ISNUMBER(SEARCH("GetElementbyID",AQ86)),SUBSTITUTE(AU86,"!InputOptionsforIDorOptionSelectorsHere2","'Next line"),IF(ISNUMBER(SEARCH("GetElementsbyTagName",AQ86)),SUBSTITUTE(AU86,"!InputOptionsforIDorOptionSelectorsHere2","!InputOptionSelection(s)Here"),AU86))</f>
        <v/>
      </c>
      <c r="AW86" s="32" t="str">
        <f>IF($S86="",$AV86,SUBSTITUTE($AV86,"!InputTagNameHere",$S86))</f>
        <v/>
      </c>
      <c r="AX86" s="32" t="str">
        <f>IF($T86="",$AW86,SUBSTITUTE($AW86,"!InputElementIDHere",$T86))</f>
        <v/>
      </c>
      <c r="AY86" s="32" t="str">
        <f>IF($U86="",$AX86,SUBSTITUTE($AX86,"!InputElementNameHere",$U86))</f>
        <v/>
      </c>
      <c r="AZ86" s="32" t="str">
        <f>IF($V86="",$AY86,SUBSTITUTE($AY86,"!InputElementClassHere",$V86))</f>
        <v/>
      </c>
      <c r="BA86" s="32" t="str">
        <f>IF($AO86="",$AZ86,SUBSTITUTE($AZ86,"!InputElementSelector(s)Here",$AO86))</f>
        <v/>
      </c>
      <c r="BB86" s="70"/>
      <c r="BC86" s="71" t="str">
        <f>IF(BB86="","",CONCATENATE("Ele.Value = " &amp; CHAR(34), BB86 &amp;CHAR(34)))</f>
        <v/>
      </c>
      <c r="BD86" s="55"/>
      <c r="BE86" s="62" t="str">
        <f>IF(BD86="","",CONCATENATE("            Ele.Value = " &amp; CHAR(34), BD86 &amp;CHAR(34)))</f>
        <v/>
      </c>
      <c r="BF86" s="35" t="str">
        <f>IF($BE86="",$BC86,CONCATENATE(BC86, CHAR(10),BE86))</f>
        <v/>
      </c>
      <c r="BG86" s="38"/>
      <c r="BH86" s="35" t="str">
        <f>IF(BG86="","",CONCATENATE("            Ele.Value = " &amp; CHAR(34), BG86 &amp;CHAR(34)))</f>
        <v/>
      </c>
      <c r="BI86" s="35" t="str">
        <f>IF($BH86="",$BF86,CONCATENATE(BF86, CHAR(10),BH86))</f>
        <v/>
      </c>
      <c r="BJ86" s="38"/>
      <c r="BK86" s="35" t="str">
        <f>IF(BJ86="","",CONCATENATE("            Ele.Value = " &amp; CHAR(34), BJ86 &amp;CHAR(34)))</f>
        <v/>
      </c>
      <c r="BL86" s="35" t="str">
        <f>IF($BJ86="",$BI86,CONCATENATE(BI86, CHAR(10),BK86))</f>
        <v/>
      </c>
      <c r="BM86" s="38"/>
      <c r="BN86" s="35" t="str">
        <f>IF(BM86="","",CONCATENATE("            Ele.Value = " &amp; CHAR(34), BM86 &amp;CHAR(34)))</f>
        <v/>
      </c>
      <c r="BO86" s="35" t="str">
        <f>IF($BN86="",$BL86,CONCATENATE(BL86, CHAR(10),BN86))</f>
        <v/>
      </c>
      <c r="BP86" s="32" t="str">
        <f>IF($BO86="",$BA86,SUBSTITUTE($BA86,"!InputOptionSelection(s)Here",$BO86))</f>
        <v/>
      </c>
      <c r="BQ86" s="35" t="str">
        <f>SUBSTITUTE($BP86,"!InputStepNumberHere",ROW()-3)</f>
        <v/>
      </c>
      <c r="BR86" s="37" t="str">
        <f t="shared" si="110"/>
        <v/>
      </c>
      <c r="BS86" s="1"/>
    </row>
    <row r="87" spans="2:71" ht="70.5" customHeight="1" x14ac:dyDescent="0.25">
      <c r="B87" s="63"/>
      <c r="C87" s="64" t="str">
        <f>IFERROR(VLOOKUP(B87,Table_PrewrittenCode[#All],2,0),"")</f>
        <v/>
      </c>
      <c r="D87" s="32" t="str">
        <f>IFERROR(VLOOKUP(B87,Table_PrewrittenCode[#All],3,0),"")</f>
        <v/>
      </c>
      <c r="E87" s="54"/>
      <c r="F87" s="58" t="str">
        <f t="shared" si="106"/>
        <v/>
      </c>
      <c r="G87" s="54"/>
      <c r="H87" s="59" t="str">
        <f t="shared" si="107"/>
        <v/>
      </c>
      <c r="I87" s="48" t="str">
        <f t="shared" si="108"/>
        <v/>
      </c>
      <c r="J87" s="54"/>
      <c r="K87" s="60" t="str">
        <f t="shared" si="57"/>
        <v/>
      </c>
      <c r="L87" s="32" t="str">
        <f t="shared" si="58"/>
        <v/>
      </c>
      <c r="M87" s="32" t="str">
        <f t="shared" si="59"/>
        <v/>
      </c>
      <c r="N87" s="55"/>
      <c r="O87" s="66" t="str">
        <f t="shared" si="109"/>
        <v/>
      </c>
      <c r="P87" s="65"/>
      <c r="Q87" s="60" t="str">
        <f t="shared" si="60"/>
        <v/>
      </c>
      <c r="R87" s="32" t="str">
        <f t="shared" si="61"/>
        <v/>
      </c>
      <c r="S87" s="34" t="str">
        <f t="shared" si="62"/>
        <v/>
      </c>
      <c r="T87" s="32" t="str">
        <f t="shared" si="63"/>
        <v/>
      </c>
      <c r="U87" s="32" t="str">
        <f t="shared" si="64"/>
        <v/>
      </c>
      <c r="V87" s="32" t="str">
        <f t="shared" si="65"/>
        <v/>
      </c>
      <c r="W87" s="32" t="str">
        <f t="shared" si="66"/>
        <v/>
      </c>
      <c r="X87" s="32" t="str">
        <f t="shared" si="67"/>
        <v/>
      </c>
      <c r="Y87" s="32" t="str">
        <f t="shared" si="68"/>
        <v/>
      </c>
      <c r="Z87" s="32" t="str">
        <f t="shared" si="69"/>
        <v/>
      </c>
      <c r="AA87" s="32" t="str">
        <f t="shared" si="70"/>
        <v/>
      </c>
      <c r="AB87" s="32" t="str">
        <f>IF(T87="","",CONCATENATE("Ele.ID Like ",CHAR(34), T87, CHAR(34)))</f>
        <v/>
      </c>
      <c r="AC87" s="35" t="str">
        <f>IF(X87="","",CONCATENATE("Ele.innerHTML Like ",CHAR(34),X87,CHAR(34)))</f>
        <v/>
      </c>
      <c r="AD87" s="32" t="str">
        <f>IF(U87="","",CONCATENATE("Ele.Name Like ",CHAR(34),U87,CHAR(34)))</f>
        <v/>
      </c>
      <c r="AE87" s="32" t="str">
        <f>IF(Y87="","",CONCATENATE("Ele.Title Like ",CHAR(34),Y87,CHAR(34)))</f>
        <v/>
      </c>
      <c r="AF87" s="32" t="str">
        <f>IF(Z87="","",CONCATENATE("Ele.Value Like ",CHAR(34),Z87,CHAR(34)))</f>
        <v/>
      </c>
      <c r="AG87" s="32" t="str">
        <f>IF(AA87="","",CONCATENATE("Ele.TabIndex Like ",CHAR(34),AA87,CHAR(34)))</f>
        <v/>
      </c>
      <c r="AH87" s="32" t="str">
        <f t="shared" si="77"/>
        <v/>
      </c>
      <c r="AI87" s="32" t="str">
        <f>IF(W87="","",CONCATENATE("Ele.Classname Like ",CHAR(34),W87,CHAR(34)))</f>
        <v/>
      </c>
      <c r="AJ87" s="32" t="str">
        <f t="shared" si="79"/>
        <v/>
      </c>
      <c r="AK87" s="61" t="str">
        <f t="shared" si="80"/>
        <v/>
      </c>
      <c r="AL87" s="54"/>
      <c r="AM87" s="60" t="str">
        <f>IF(ISBLANK($AK87),"",IF(ISBLANK($AL87),$AK87,CONCATENATE($AK87, " And ", $AL87)))</f>
        <v/>
      </c>
      <c r="AN87" s="38"/>
      <c r="AO87" s="32" t="str">
        <f>IF(ISBLANK($AN87),IF($AM87="","",CONCATENATE($AM87)),CONCATENATE($AM87, " And ", $AN87))</f>
        <v/>
      </c>
      <c r="AP87" s="32" t="str">
        <f>IF(T87&lt;&gt;"","GetElementbyID"&amp;CHAR(40) &amp; CHAR(34) &amp; T87 &amp; CHAR(34) &amp; CHAR(41),IF(V87&lt;&gt;"","GetElementsbyClassName"&amp;CHAR(40) &amp; CHAR(34) &amp; V87 &amp; CHAR(34) &amp; CHAR(41),IF(U87&lt;&gt;"","GetElementsbyName"&amp;CHAR(40) &amp; CHAR(34) &amp; U87 &amp; CHAR(34) &amp; CHAR(41),IF(S87&lt;&gt;"","GetElementsbyTagName"&amp;CHAR(40) &amp; CHAR(34) &amp; S87 &amp; CHAR(34) &amp; CHAR(41),""))))</f>
        <v/>
      </c>
      <c r="AQ87" s="32" t="str">
        <f t="shared" si="84"/>
        <v/>
      </c>
      <c r="AR87" s="32" t="str">
        <f t="shared" si="85"/>
        <v/>
      </c>
      <c r="AS87" s="32" t="str">
        <f t="shared" si="86"/>
        <v/>
      </c>
      <c r="AT87" s="32" t="str">
        <f t="shared" si="87"/>
        <v/>
      </c>
      <c r="AU87" s="32" t="str">
        <f t="shared" si="88"/>
        <v/>
      </c>
      <c r="AV87" s="32" t="str">
        <f t="shared" si="89"/>
        <v/>
      </c>
      <c r="AW87" s="32" t="str">
        <f t="shared" si="90"/>
        <v/>
      </c>
      <c r="AX87" s="32" t="str">
        <f t="shared" si="91"/>
        <v/>
      </c>
      <c r="AY87" s="32" t="str">
        <f t="shared" si="92"/>
        <v/>
      </c>
      <c r="AZ87" s="32" t="str">
        <f t="shared" si="93"/>
        <v/>
      </c>
      <c r="BA87" s="32" t="str">
        <f t="shared" si="94"/>
        <v/>
      </c>
      <c r="BB87" s="70"/>
      <c r="BC87" s="71" t="str">
        <f>IF(BB87="","",CONCATENATE("Ele.Value = " &amp; CHAR(34), BB87 &amp;CHAR(34)))</f>
        <v/>
      </c>
      <c r="BD87" s="55"/>
      <c r="BE87" s="62" t="str">
        <f>IF(BD87="","",CONCATENATE("            Ele.Value = " &amp; CHAR(34), BD87 &amp;CHAR(34)))</f>
        <v/>
      </c>
      <c r="BF87" s="35" t="str">
        <f>IF($BE87="",$BC87,CONCATENATE(BC87, CHAR(10),BE87))</f>
        <v/>
      </c>
      <c r="BG87" s="38"/>
      <c r="BH87" s="35" t="str">
        <f>IF(BG87="","",CONCATENATE("            Ele.Value = " &amp; CHAR(34), BG87 &amp;CHAR(34)))</f>
        <v/>
      </c>
      <c r="BI87" s="35" t="str">
        <f>IF($BH87="",$BF87,CONCATENATE(BF87, CHAR(10),BH87))</f>
        <v/>
      </c>
      <c r="BJ87" s="38"/>
      <c r="BK87" s="35" t="str">
        <f>IF(BJ87="","",CONCATENATE("            Ele.Value = " &amp; CHAR(34), BJ87 &amp;CHAR(34)))</f>
        <v/>
      </c>
      <c r="BL87" s="35" t="str">
        <f>IF($BJ87="",$BI87,CONCATENATE(BI87, CHAR(10),BK87))</f>
        <v/>
      </c>
      <c r="BM87" s="38"/>
      <c r="BN87" s="35" t="str">
        <f>IF(BM87="","",CONCATENATE("            Ele.Value = " &amp; CHAR(34), BM87 &amp;CHAR(34)))</f>
        <v/>
      </c>
      <c r="BO87" s="35" t="str">
        <f>IF($BN87="",$BL87,CONCATENATE(BL87, CHAR(10),BN87))</f>
        <v/>
      </c>
      <c r="BP87" s="32" t="str">
        <f t="shared" si="104"/>
        <v/>
      </c>
      <c r="BQ87" s="35" t="str">
        <f>SUBSTITUTE($BP87,"!InputStepNumberHere",ROW()-3)</f>
        <v/>
      </c>
      <c r="BR87" s="37" t="str">
        <f t="shared" si="110"/>
        <v/>
      </c>
      <c r="BS87" s="1"/>
    </row>
    <row r="88" spans="2:71" ht="70.5" customHeight="1" x14ac:dyDescent="0.25">
      <c r="B88" s="63"/>
      <c r="C88" s="64" t="str">
        <f>IFERROR(VLOOKUP(B88,Table_PrewrittenCode[#All],2,0),"")</f>
        <v/>
      </c>
      <c r="D88" s="32" t="str">
        <f>IFERROR(VLOOKUP(B88,Table_PrewrittenCode[#All],3,0),"")</f>
        <v/>
      </c>
      <c r="E88" s="54"/>
      <c r="F88" s="58" t="str">
        <f t="shared" ref="F88:F99" si="111">IF(E88="",$C88,SUBSTITUTE($C88,"!InputTitleHere",$E88))</f>
        <v/>
      </c>
      <c r="G88" s="54"/>
      <c r="H88" s="59" t="str">
        <f t="shared" ref="H88:H99" si="112">CLEAN(G88)</f>
        <v/>
      </c>
      <c r="I88" s="48" t="str">
        <f t="shared" ref="I88:I99" si="113">IF($H88="",$F88,SUBSTITUTE($F88,"!InputHTMLHere",IF(LEN(H88)&lt;900,$H88,_xlfn.CONCAT(LEFT(H88,900),"... HTML truncated. View full HTML on MacroCreation worksheet."))))</f>
        <v/>
      </c>
      <c r="J88" s="54"/>
      <c r="K88" s="60" t="str">
        <f t="shared" si="57"/>
        <v/>
      </c>
      <c r="L88" s="32" t="str">
        <f t="shared" ref="L88:L99" si="114">IF(ISNUMBER(SEARCH("onchange=",G88)),"onchange",IF(ISNUMBER(SEARCH("onsubmit=",G88)),"onsubmit",IF(ISNUMBER(SEARCH("onclick=",G88)),"onclick",IF(ISNUMBER(SEARCH("onselect=",G88)),"onselect",IF(ISNUMBER(SEARCH("onfocus=",G88)),"onfocus",IF(ISNUMBER(SEARCH("onblur",G88)),"onblur",""))))))</f>
        <v/>
      </c>
      <c r="M88" s="32" t="str">
        <f t="shared" ref="M88:M99" si="115">IF(L88&lt;&gt;"",SUBSTITUTE(K88,"!InputJavascriptEventHere",L88),K88)</f>
        <v/>
      </c>
      <c r="N88" s="55"/>
      <c r="O88" s="66" t="str">
        <f t="shared" si="109"/>
        <v/>
      </c>
      <c r="P88" s="65"/>
      <c r="Q88" s="60" t="str">
        <f t="shared" si="60"/>
        <v/>
      </c>
      <c r="R88" s="32" t="str">
        <f t="shared" si="61"/>
        <v/>
      </c>
      <c r="S88" s="34" t="str">
        <f t="shared" si="62"/>
        <v/>
      </c>
      <c r="T88" s="32" t="str">
        <f t="shared" si="63"/>
        <v/>
      </c>
      <c r="U88" s="32" t="str">
        <f t="shared" si="64"/>
        <v/>
      </c>
      <c r="V88" s="32" t="str">
        <f t="shared" si="65"/>
        <v/>
      </c>
      <c r="W88" s="32" t="str">
        <f t="shared" si="66"/>
        <v/>
      </c>
      <c r="X88" s="32" t="str">
        <f t="shared" si="67"/>
        <v/>
      </c>
      <c r="Y88" s="32" t="str">
        <f t="shared" si="68"/>
        <v/>
      </c>
      <c r="Z88" s="32" t="str">
        <f t="shared" ref="Z88:Z99" si="116">IFERROR(LEFT(REPLACE(G88,1,SEARCH(" Value=",G88)+LEN(" Value="),""),SEARCH("""",REPLACE(G88,1,SEARCH(" Value=",G88)+LEN(" Value="),""))-1),"")</f>
        <v/>
      </c>
      <c r="AA88" s="32" t="str">
        <f t="shared" si="70"/>
        <v/>
      </c>
      <c r="AB88" s="32" t="str">
        <f t="shared" ref="AB88:AB99" si="117">IF(T88="","",CONCATENATE("Ele.ID Like ",CHAR(34), T88, CHAR(34)))</f>
        <v/>
      </c>
      <c r="AC88" s="35" t="str">
        <f t="shared" ref="AC88:AC99" si="118">IF(X88="","",CONCATENATE("Ele.innerHTML Like ",CHAR(34),X88,CHAR(34)))</f>
        <v/>
      </c>
      <c r="AD88" s="32" t="str">
        <f t="shared" ref="AD88:AD99" si="119">IF(U88="","",CONCATENATE("Ele.Name Like ",CHAR(34),U88,CHAR(34)))</f>
        <v/>
      </c>
      <c r="AE88" s="32" t="str">
        <f t="shared" ref="AE88:AE99" si="120">IF(Y88="","",CONCATENATE("Ele.Title Like ",CHAR(34),Y88,CHAR(34)))</f>
        <v/>
      </c>
      <c r="AF88" s="32" t="str">
        <f t="shared" ref="AF88:AF99" si="121">IF(Z88="","",CONCATENATE("Ele.Value Like ",CHAR(34),Z88,CHAR(34)))</f>
        <v/>
      </c>
      <c r="AG88" s="32" t="str">
        <f t="shared" ref="AG88:AG99" si="122">IF(AA88="","",CONCATENATE("Ele.TabIndex Like ",CHAR(34),AA88,CHAR(34)))</f>
        <v/>
      </c>
      <c r="AH88" s="32" t="str">
        <f t="shared" ref="AH88:AH99" si="123">IF(V88="","",CONCATENATE("Ele.ClassName Like ",CHAR(34),V88,CHAR(34)))</f>
        <v/>
      </c>
      <c r="AI88" s="32" t="str">
        <f t="shared" ref="AI88:AI99" si="124">IF(W88="","",CONCATENATE("Ele.Classname Like ",CHAR(34),W88,CHAR(34)))</f>
        <v/>
      </c>
      <c r="AJ88" s="32" t="str">
        <f t="shared" ref="AJ88:AJ99" si="125">IF(OR(B88="Enter Text",B88="Click Button",B88="Select Option"),IF(AB88&lt;&gt;"",AB88,IF(AD88&lt;&gt;"",AD88,IF(AE88&lt;&gt;"",AE88,IF(AF88&lt;&gt;"",AF88,IF(AH88&lt;&gt;"",AH88,IF(AI88&lt;&gt;"",AI88,IF(AG88&lt;&gt;"",AG88,IF(AC88&lt;&gt;"",AC88,"")))))))),"")</f>
        <v/>
      </c>
      <c r="AK88" s="61" t="str">
        <f t="shared" ref="AK88:AK99" si="126">AJ88</f>
        <v/>
      </c>
      <c r="AL88" s="54"/>
      <c r="AM88" s="60" t="str">
        <f t="shared" ref="AM88:AM99" si="127">IF(ISBLANK($AK88),"",IF(ISBLANK($AL88),$AK88,CONCATENATE($AK88, " And ", $AL88)))</f>
        <v/>
      </c>
      <c r="AN88" s="38"/>
      <c r="AO88" s="32" t="str">
        <f t="shared" ref="AO88:AO99" si="128">IF(ISBLANK($AN88),IF($AM88="","",CONCATENATE($AM88)),CONCATENATE($AM88, " And ", $AN88))</f>
        <v/>
      </c>
      <c r="AP88" s="32" t="str">
        <f t="shared" ref="AP88:AP99" si="129">IF(T88&lt;&gt;"","GetElementbyID"&amp;CHAR(40) &amp; CHAR(34) &amp; T88 &amp; CHAR(34) &amp; CHAR(41),IF(V88&lt;&gt;"","GetElementsbyClassName"&amp;CHAR(40) &amp; CHAR(34) &amp; V88 &amp; CHAR(34) &amp; CHAR(41),IF(U88&lt;&gt;"","GetElementsbyName"&amp;CHAR(40) &amp; CHAR(34) &amp; U88 &amp; CHAR(34) &amp; CHAR(41),IF(S88&lt;&gt;"","GetElementsbyTagName"&amp;CHAR(40) &amp; CHAR(34) &amp; S88 &amp; CHAR(34) &amp; CHAR(41),""))))</f>
        <v/>
      </c>
      <c r="AQ88" s="32" t="str">
        <f t="shared" ref="AQ88:AQ99" si="130">IF(T88&lt;&gt;"","GetElementbyID"&amp;CHAR(40)&amp;CHAR(34)&amp;T88&amp;CHAR(34)&amp;CHAR(41),IF(S88&lt;&gt;"","GetElementsbyTagName"&amp;CHAR(40)&amp;CHAR(34)&amp;S88&amp;CHAR(34)&amp;CHAR(41),""))</f>
        <v/>
      </c>
      <c r="AR88" s="32" t="str">
        <f t="shared" si="85"/>
        <v/>
      </c>
      <c r="AS88" s="32" t="str">
        <f t="shared" ref="AS88:AS99" si="131">IF(AQ88="",AR88,SUBSTITUTE(AR88,"!InputMostSpecificOptionSelectorHere",AQ88))</f>
        <v/>
      </c>
      <c r="AT88" s="32" t="str">
        <f t="shared" ref="AT88:AT99" si="132">IF(ISNUMBER(SEARCH("GetElementbyID",AQ88)),SUBSTITUTE(AS88,"!InputTagorIDElementWithorWithoutOptionsHere","TagorIDElement.Options"),IF(ISNUMBER(SEARCH("GetElementsbyTagName",AQ88)),SUBSTITUTE(AS88,"!InputTagorIDElementWithorWithoutOptionsHere","TagorIDElement"),AS88))</f>
        <v/>
      </c>
      <c r="AU88" s="32" t="str">
        <f t="shared" ref="AU88:AU99" si="133">IF(ISNUMBER(SEARCH("GetElementbyID",AQ88)),SUBSTITUTE(AT88,"!InputOptionforIDorOptionSelectorsHere1","If !InputOptionSelection(s)Here Then"),IF(ISNUMBER(SEARCH("GetElementsbyTagName",AQ88)),SUBSTITUTE(AT88,"!InputOptionforIDorOptionSelectorsHere1","If !InputElementSelector(s)Here Then"),AT88))</f>
        <v/>
      </c>
      <c r="AV88" s="32" t="str">
        <f t="shared" ref="AV88:AV99" si="134">IF(ISNUMBER(SEARCH("GetElementbyID",AQ88)),SUBSTITUTE(AU88,"!InputOptionsforIDorOptionSelectorsHere2","'Next line"),IF(ISNUMBER(SEARCH("GetElementsbyTagName",AQ88)),SUBSTITUTE(AU88,"!InputOptionsforIDorOptionSelectorsHere2","!InputOptionSelection(s)Here"),AU88))</f>
        <v/>
      </c>
      <c r="AW88" s="32" t="str">
        <f t="shared" si="90"/>
        <v/>
      </c>
      <c r="AX88" s="32" t="str">
        <f t="shared" si="91"/>
        <v/>
      </c>
      <c r="AY88" s="32" t="str">
        <f t="shared" si="92"/>
        <v/>
      </c>
      <c r="AZ88" s="32" t="str">
        <f t="shared" si="93"/>
        <v/>
      </c>
      <c r="BA88" s="32" t="str">
        <f t="shared" si="94"/>
        <v/>
      </c>
      <c r="BB88" s="70"/>
      <c r="BC88" s="71" t="str">
        <f t="shared" ref="BC88:BC99" si="135">IF(BB88="","",CONCATENATE("Ele.Value = " &amp; CHAR(34), BB88 &amp;CHAR(34)))</f>
        <v/>
      </c>
      <c r="BD88" s="55"/>
      <c r="BE88" s="62" t="str">
        <f t="shared" ref="BE88:BE99" si="136">IF(BD88="","",CONCATENATE("            Ele.Value = " &amp; CHAR(34), BD88 &amp;CHAR(34)))</f>
        <v/>
      </c>
      <c r="BF88" s="35" t="str">
        <f t="shared" ref="BF88:BF99" si="137">IF($BE88="",$BC88,CONCATENATE(BC88, CHAR(10),BE88))</f>
        <v/>
      </c>
      <c r="BG88" s="38"/>
      <c r="BH88" s="35" t="str">
        <f t="shared" ref="BH88:BH99" si="138">IF(BG88="","",CONCATENATE("            Ele.Value = " &amp; CHAR(34), BG88 &amp;CHAR(34)))</f>
        <v/>
      </c>
      <c r="BI88" s="35" t="str">
        <f t="shared" ref="BI88:BI99" si="139">IF($BH88="",$BF88,CONCATENATE(BF88, CHAR(10),BH88))</f>
        <v/>
      </c>
      <c r="BJ88" s="38"/>
      <c r="BK88" s="35" t="str">
        <f t="shared" ref="BK88:BK99" si="140">IF(BJ88="","",CONCATENATE("            Ele.Value = " &amp; CHAR(34), BJ88 &amp;CHAR(34)))</f>
        <v/>
      </c>
      <c r="BL88" s="35" t="str">
        <f t="shared" ref="BL88:BL99" si="141">IF($BJ88="",$BI88,CONCATENATE(BI88, CHAR(10),BK88))</f>
        <v/>
      </c>
      <c r="BM88" s="38"/>
      <c r="BN88" s="35" t="str">
        <f t="shared" ref="BN88:BN99" si="142">IF(BM88="","",CONCATENATE("            Ele.Value = " &amp; CHAR(34), BM88 &amp;CHAR(34)))</f>
        <v/>
      </c>
      <c r="BO88" s="35" t="str">
        <f t="shared" ref="BO88:BO99" si="143">IF($BN88="",$BL88,CONCATENATE(BL88, CHAR(10),BN88))</f>
        <v/>
      </c>
      <c r="BP88" s="32" t="str">
        <f t="shared" si="104"/>
        <v/>
      </c>
      <c r="BQ88" s="35" t="str">
        <f t="shared" ref="BQ88:BQ99" si="144">SUBSTITUTE($BP88,"!InputStepNumberHere",ROW()-3)</f>
        <v/>
      </c>
      <c r="BR88" s="37" t="str">
        <f t="shared" si="110"/>
        <v/>
      </c>
      <c r="BS88" s="1"/>
    </row>
    <row r="89" spans="2:71" ht="70.5" customHeight="1" x14ac:dyDescent="0.25">
      <c r="B89" s="63"/>
      <c r="C89" s="64" t="str">
        <f>IFERROR(VLOOKUP(B89,Table_PrewrittenCode[#All],2,0),"")</f>
        <v/>
      </c>
      <c r="D89" s="32" t="str">
        <f>IFERROR(VLOOKUP(B89,Table_PrewrittenCode[#All],3,0),"")</f>
        <v/>
      </c>
      <c r="E89" s="54"/>
      <c r="F89" s="58" t="str">
        <f t="shared" si="111"/>
        <v/>
      </c>
      <c r="G89" s="54"/>
      <c r="H89" s="59" t="str">
        <f t="shared" si="112"/>
        <v/>
      </c>
      <c r="I89" s="48" t="str">
        <f t="shared" si="113"/>
        <v/>
      </c>
      <c r="J89" s="54"/>
      <c r="K89" s="60" t="str">
        <f t="shared" si="57"/>
        <v/>
      </c>
      <c r="L89" s="32" t="str">
        <f t="shared" si="114"/>
        <v/>
      </c>
      <c r="M89" s="32" t="str">
        <f t="shared" si="115"/>
        <v/>
      </c>
      <c r="N89" s="55"/>
      <c r="O89" s="66" t="str">
        <f t="shared" si="109"/>
        <v/>
      </c>
      <c r="P89" s="65"/>
      <c r="Q89" s="60" t="str">
        <f t="shared" si="60"/>
        <v/>
      </c>
      <c r="R89" s="32" t="str">
        <f t="shared" si="61"/>
        <v/>
      </c>
      <c r="S89" s="34" t="str">
        <f t="shared" si="62"/>
        <v/>
      </c>
      <c r="T89" s="32" t="str">
        <f t="shared" si="63"/>
        <v/>
      </c>
      <c r="U89" s="32" t="str">
        <f t="shared" si="64"/>
        <v/>
      </c>
      <c r="V89" s="32" t="str">
        <f t="shared" si="65"/>
        <v/>
      </c>
      <c r="W89" s="32" t="str">
        <f t="shared" si="66"/>
        <v/>
      </c>
      <c r="X89" s="32" t="str">
        <f t="shared" si="67"/>
        <v/>
      </c>
      <c r="Y89" s="32" t="str">
        <f t="shared" si="68"/>
        <v/>
      </c>
      <c r="Z89" s="32" t="str">
        <f t="shared" si="116"/>
        <v/>
      </c>
      <c r="AA89" s="32" t="str">
        <f t="shared" si="70"/>
        <v/>
      </c>
      <c r="AB89" s="32" t="str">
        <f t="shared" si="117"/>
        <v/>
      </c>
      <c r="AC89" s="35" t="str">
        <f t="shared" si="118"/>
        <v/>
      </c>
      <c r="AD89" s="32" t="str">
        <f t="shared" si="119"/>
        <v/>
      </c>
      <c r="AE89" s="32" t="str">
        <f t="shared" si="120"/>
        <v/>
      </c>
      <c r="AF89" s="32" t="str">
        <f t="shared" si="121"/>
        <v/>
      </c>
      <c r="AG89" s="32" t="str">
        <f t="shared" si="122"/>
        <v/>
      </c>
      <c r="AH89" s="32" t="str">
        <f t="shared" si="123"/>
        <v/>
      </c>
      <c r="AI89" s="32" t="str">
        <f t="shared" si="124"/>
        <v/>
      </c>
      <c r="AJ89" s="32" t="str">
        <f t="shared" si="125"/>
        <v/>
      </c>
      <c r="AK89" s="61" t="str">
        <f t="shared" si="126"/>
        <v/>
      </c>
      <c r="AL89" s="54"/>
      <c r="AM89" s="60" t="str">
        <f t="shared" si="127"/>
        <v/>
      </c>
      <c r="AN89" s="38"/>
      <c r="AO89" s="32" t="str">
        <f t="shared" si="128"/>
        <v/>
      </c>
      <c r="AP89" s="32" t="str">
        <f t="shared" si="129"/>
        <v/>
      </c>
      <c r="AQ89" s="32" t="str">
        <f t="shared" si="130"/>
        <v/>
      </c>
      <c r="AR89" s="32" t="str">
        <f t="shared" si="85"/>
        <v/>
      </c>
      <c r="AS89" s="32" t="str">
        <f t="shared" si="131"/>
        <v/>
      </c>
      <c r="AT89" s="32" t="str">
        <f t="shared" si="132"/>
        <v/>
      </c>
      <c r="AU89" s="32" t="str">
        <f t="shared" si="133"/>
        <v/>
      </c>
      <c r="AV89" s="32" t="str">
        <f t="shared" si="134"/>
        <v/>
      </c>
      <c r="AW89" s="32" t="str">
        <f t="shared" si="90"/>
        <v/>
      </c>
      <c r="AX89" s="32" t="str">
        <f t="shared" si="91"/>
        <v/>
      </c>
      <c r="AY89" s="32" t="str">
        <f t="shared" si="92"/>
        <v/>
      </c>
      <c r="AZ89" s="32" t="str">
        <f t="shared" si="93"/>
        <v/>
      </c>
      <c r="BA89" s="32" t="str">
        <f t="shared" si="94"/>
        <v/>
      </c>
      <c r="BB89" s="70"/>
      <c r="BC89" s="71" t="str">
        <f t="shared" si="135"/>
        <v/>
      </c>
      <c r="BD89" s="55"/>
      <c r="BE89" s="62" t="str">
        <f t="shared" si="136"/>
        <v/>
      </c>
      <c r="BF89" s="35" t="str">
        <f t="shared" si="137"/>
        <v/>
      </c>
      <c r="BG89" s="38"/>
      <c r="BH89" s="35" t="str">
        <f t="shared" si="138"/>
        <v/>
      </c>
      <c r="BI89" s="35" t="str">
        <f t="shared" si="139"/>
        <v/>
      </c>
      <c r="BJ89" s="38"/>
      <c r="BK89" s="35" t="str">
        <f t="shared" si="140"/>
        <v/>
      </c>
      <c r="BL89" s="35" t="str">
        <f t="shared" si="141"/>
        <v/>
      </c>
      <c r="BM89" s="38"/>
      <c r="BN89" s="35" t="str">
        <f t="shared" si="142"/>
        <v/>
      </c>
      <c r="BO89" s="35" t="str">
        <f t="shared" si="143"/>
        <v/>
      </c>
      <c r="BP89" s="32" t="str">
        <f t="shared" si="104"/>
        <v/>
      </c>
      <c r="BQ89" s="35" t="str">
        <f t="shared" si="144"/>
        <v/>
      </c>
      <c r="BR89" s="37" t="str">
        <f t="shared" si="110"/>
        <v/>
      </c>
      <c r="BS89" s="1"/>
    </row>
    <row r="90" spans="2:71" ht="70.5" customHeight="1" x14ac:dyDescent="0.25">
      <c r="B90" s="63"/>
      <c r="C90" s="64" t="str">
        <f>IFERROR(VLOOKUP(B90,Table_PrewrittenCode[#All],2,0),"")</f>
        <v/>
      </c>
      <c r="D90" s="32" t="str">
        <f>IFERROR(VLOOKUP(B90,Table_PrewrittenCode[#All],3,0),"")</f>
        <v/>
      </c>
      <c r="E90" s="54"/>
      <c r="F90" s="58" t="str">
        <f t="shared" si="111"/>
        <v/>
      </c>
      <c r="G90" s="54"/>
      <c r="H90" s="59" t="str">
        <f t="shared" si="112"/>
        <v/>
      </c>
      <c r="I90" s="48" t="str">
        <f t="shared" si="113"/>
        <v/>
      </c>
      <c r="J90" s="54"/>
      <c r="K90" s="60" t="str">
        <f t="shared" si="57"/>
        <v/>
      </c>
      <c r="L90" s="32" t="str">
        <f t="shared" si="114"/>
        <v/>
      </c>
      <c r="M90" s="32" t="str">
        <f t="shared" si="115"/>
        <v/>
      </c>
      <c r="N90" s="55"/>
      <c r="O90" s="66" t="str">
        <f t="shared" si="109"/>
        <v/>
      </c>
      <c r="P90" s="65"/>
      <c r="Q90" s="60" t="str">
        <f t="shared" si="60"/>
        <v/>
      </c>
      <c r="R90" s="32" t="str">
        <f t="shared" si="61"/>
        <v/>
      </c>
      <c r="S90" s="34" t="str">
        <f t="shared" si="62"/>
        <v/>
      </c>
      <c r="T90" s="32" t="str">
        <f t="shared" si="63"/>
        <v/>
      </c>
      <c r="U90" s="32" t="str">
        <f t="shared" si="64"/>
        <v/>
      </c>
      <c r="V90" s="32" t="str">
        <f t="shared" si="65"/>
        <v/>
      </c>
      <c r="W90" s="32" t="str">
        <f t="shared" si="66"/>
        <v/>
      </c>
      <c r="X90" s="32" t="str">
        <f t="shared" si="67"/>
        <v/>
      </c>
      <c r="Y90" s="32" t="str">
        <f t="shared" si="68"/>
        <v/>
      </c>
      <c r="Z90" s="32" t="str">
        <f t="shared" si="116"/>
        <v/>
      </c>
      <c r="AA90" s="32" t="str">
        <f t="shared" si="70"/>
        <v/>
      </c>
      <c r="AB90" s="32" t="str">
        <f t="shared" si="117"/>
        <v/>
      </c>
      <c r="AC90" s="35" t="str">
        <f t="shared" si="118"/>
        <v/>
      </c>
      <c r="AD90" s="32" t="str">
        <f t="shared" si="119"/>
        <v/>
      </c>
      <c r="AE90" s="32" t="str">
        <f t="shared" si="120"/>
        <v/>
      </c>
      <c r="AF90" s="32" t="str">
        <f t="shared" si="121"/>
        <v/>
      </c>
      <c r="AG90" s="32" t="str">
        <f t="shared" si="122"/>
        <v/>
      </c>
      <c r="AH90" s="32" t="str">
        <f t="shared" si="123"/>
        <v/>
      </c>
      <c r="AI90" s="32" t="str">
        <f t="shared" si="124"/>
        <v/>
      </c>
      <c r="AJ90" s="32" t="str">
        <f t="shared" si="125"/>
        <v/>
      </c>
      <c r="AK90" s="61" t="str">
        <f t="shared" si="126"/>
        <v/>
      </c>
      <c r="AL90" s="54"/>
      <c r="AM90" s="60" t="str">
        <f t="shared" si="127"/>
        <v/>
      </c>
      <c r="AN90" s="38"/>
      <c r="AO90" s="32" t="str">
        <f t="shared" si="128"/>
        <v/>
      </c>
      <c r="AP90" s="32" t="str">
        <f t="shared" si="129"/>
        <v/>
      </c>
      <c r="AQ90" s="32" t="str">
        <f t="shared" si="130"/>
        <v/>
      </c>
      <c r="AR90" s="32" t="str">
        <f t="shared" si="85"/>
        <v/>
      </c>
      <c r="AS90" s="32" t="str">
        <f t="shared" si="131"/>
        <v/>
      </c>
      <c r="AT90" s="32" t="str">
        <f t="shared" si="132"/>
        <v/>
      </c>
      <c r="AU90" s="32" t="str">
        <f t="shared" si="133"/>
        <v/>
      </c>
      <c r="AV90" s="32" t="str">
        <f t="shared" si="134"/>
        <v/>
      </c>
      <c r="AW90" s="32" t="str">
        <f t="shared" si="90"/>
        <v/>
      </c>
      <c r="AX90" s="32" t="str">
        <f t="shared" si="91"/>
        <v/>
      </c>
      <c r="AY90" s="32" t="str">
        <f t="shared" si="92"/>
        <v/>
      </c>
      <c r="AZ90" s="32" t="str">
        <f t="shared" si="93"/>
        <v/>
      </c>
      <c r="BA90" s="32" t="str">
        <f t="shared" si="94"/>
        <v/>
      </c>
      <c r="BB90" s="70"/>
      <c r="BC90" s="71" t="str">
        <f t="shared" si="135"/>
        <v/>
      </c>
      <c r="BD90" s="55"/>
      <c r="BE90" s="62" t="str">
        <f t="shared" si="136"/>
        <v/>
      </c>
      <c r="BF90" s="35" t="str">
        <f t="shared" si="137"/>
        <v/>
      </c>
      <c r="BG90" s="38"/>
      <c r="BH90" s="35" t="str">
        <f t="shared" si="138"/>
        <v/>
      </c>
      <c r="BI90" s="35" t="str">
        <f t="shared" si="139"/>
        <v/>
      </c>
      <c r="BJ90" s="38"/>
      <c r="BK90" s="35" t="str">
        <f t="shared" si="140"/>
        <v/>
      </c>
      <c r="BL90" s="35" t="str">
        <f t="shared" si="141"/>
        <v/>
      </c>
      <c r="BM90" s="38"/>
      <c r="BN90" s="35" t="str">
        <f t="shared" si="142"/>
        <v/>
      </c>
      <c r="BO90" s="35" t="str">
        <f t="shared" si="143"/>
        <v/>
      </c>
      <c r="BP90" s="32" t="str">
        <f t="shared" si="104"/>
        <v/>
      </c>
      <c r="BQ90" s="35" t="str">
        <f t="shared" si="144"/>
        <v/>
      </c>
      <c r="BR90" s="37" t="str">
        <f t="shared" si="110"/>
        <v/>
      </c>
      <c r="BS90" s="1"/>
    </row>
    <row r="91" spans="2:71" ht="70.5" customHeight="1" x14ac:dyDescent="0.25">
      <c r="B91" s="63"/>
      <c r="C91" s="64" t="str">
        <f>IFERROR(VLOOKUP(B91,Table_PrewrittenCode[#All],2,0),"")</f>
        <v/>
      </c>
      <c r="D91" s="32" t="str">
        <f>IFERROR(VLOOKUP(B91,Table_PrewrittenCode[#All],3,0),"")</f>
        <v/>
      </c>
      <c r="E91" s="54"/>
      <c r="F91" s="58" t="str">
        <f t="shared" si="111"/>
        <v/>
      </c>
      <c r="G91" s="54"/>
      <c r="H91" s="59" t="str">
        <f t="shared" si="112"/>
        <v/>
      </c>
      <c r="I91" s="48" t="str">
        <f t="shared" si="113"/>
        <v/>
      </c>
      <c r="J91" s="54"/>
      <c r="K91" s="60" t="str">
        <f t="shared" si="57"/>
        <v/>
      </c>
      <c r="L91" s="32" t="str">
        <f t="shared" si="114"/>
        <v/>
      </c>
      <c r="M91" s="32" t="str">
        <f t="shared" si="115"/>
        <v/>
      </c>
      <c r="N91" s="55"/>
      <c r="O91" s="66" t="str">
        <f t="shared" si="109"/>
        <v/>
      </c>
      <c r="P91" s="65"/>
      <c r="Q91" s="60" t="str">
        <f t="shared" si="60"/>
        <v/>
      </c>
      <c r="R91" s="32" t="str">
        <f t="shared" si="61"/>
        <v/>
      </c>
      <c r="S91" s="34" t="str">
        <f t="shared" si="62"/>
        <v/>
      </c>
      <c r="T91" s="32" t="str">
        <f t="shared" si="63"/>
        <v/>
      </c>
      <c r="U91" s="32" t="str">
        <f t="shared" si="64"/>
        <v/>
      </c>
      <c r="V91" s="32" t="str">
        <f t="shared" si="65"/>
        <v/>
      </c>
      <c r="W91" s="32" t="str">
        <f t="shared" si="66"/>
        <v/>
      </c>
      <c r="X91" s="32" t="str">
        <f t="shared" si="67"/>
        <v/>
      </c>
      <c r="Y91" s="32" t="str">
        <f t="shared" si="68"/>
        <v/>
      </c>
      <c r="Z91" s="32" t="str">
        <f t="shared" si="116"/>
        <v/>
      </c>
      <c r="AA91" s="32" t="str">
        <f t="shared" si="70"/>
        <v/>
      </c>
      <c r="AB91" s="32" t="str">
        <f t="shared" si="117"/>
        <v/>
      </c>
      <c r="AC91" s="35" t="str">
        <f t="shared" si="118"/>
        <v/>
      </c>
      <c r="AD91" s="32" t="str">
        <f t="shared" si="119"/>
        <v/>
      </c>
      <c r="AE91" s="32" t="str">
        <f t="shared" si="120"/>
        <v/>
      </c>
      <c r="AF91" s="32" t="str">
        <f t="shared" si="121"/>
        <v/>
      </c>
      <c r="AG91" s="32" t="str">
        <f t="shared" si="122"/>
        <v/>
      </c>
      <c r="AH91" s="32" t="str">
        <f t="shared" si="123"/>
        <v/>
      </c>
      <c r="AI91" s="32" t="str">
        <f t="shared" si="124"/>
        <v/>
      </c>
      <c r="AJ91" s="32" t="str">
        <f t="shared" si="125"/>
        <v/>
      </c>
      <c r="AK91" s="61" t="str">
        <f t="shared" si="126"/>
        <v/>
      </c>
      <c r="AL91" s="54"/>
      <c r="AM91" s="60" t="str">
        <f t="shared" si="127"/>
        <v/>
      </c>
      <c r="AN91" s="38"/>
      <c r="AO91" s="32" t="str">
        <f t="shared" si="128"/>
        <v/>
      </c>
      <c r="AP91" s="32" t="str">
        <f t="shared" si="129"/>
        <v/>
      </c>
      <c r="AQ91" s="32" t="str">
        <f t="shared" si="130"/>
        <v/>
      </c>
      <c r="AR91" s="32" t="str">
        <f t="shared" si="85"/>
        <v/>
      </c>
      <c r="AS91" s="32" t="str">
        <f t="shared" si="131"/>
        <v/>
      </c>
      <c r="AT91" s="32" t="str">
        <f t="shared" si="132"/>
        <v/>
      </c>
      <c r="AU91" s="32" t="str">
        <f t="shared" si="133"/>
        <v/>
      </c>
      <c r="AV91" s="32" t="str">
        <f t="shared" si="134"/>
        <v/>
      </c>
      <c r="AW91" s="32" t="str">
        <f t="shared" si="90"/>
        <v/>
      </c>
      <c r="AX91" s="32" t="str">
        <f t="shared" si="91"/>
        <v/>
      </c>
      <c r="AY91" s="32" t="str">
        <f t="shared" si="92"/>
        <v/>
      </c>
      <c r="AZ91" s="32" t="str">
        <f t="shared" si="93"/>
        <v/>
      </c>
      <c r="BA91" s="32" t="str">
        <f t="shared" si="94"/>
        <v/>
      </c>
      <c r="BB91" s="70"/>
      <c r="BC91" s="71" t="str">
        <f t="shared" si="135"/>
        <v/>
      </c>
      <c r="BD91" s="55"/>
      <c r="BE91" s="62" t="str">
        <f t="shared" si="136"/>
        <v/>
      </c>
      <c r="BF91" s="35" t="str">
        <f t="shared" si="137"/>
        <v/>
      </c>
      <c r="BG91" s="38"/>
      <c r="BH91" s="35" t="str">
        <f t="shared" si="138"/>
        <v/>
      </c>
      <c r="BI91" s="35" t="str">
        <f t="shared" si="139"/>
        <v/>
      </c>
      <c r="BJ91" s="38"/>
      <c r="BK91" s="35" t="str">
        <f t="shared" si="140"/>
        <v/>
      </c>
      <c r="BL91" s="35" t="str">
        <f t="shared" si="141"/>
        <v/>
      </c>
      <c r="BM91" s="38"/>
      <c r="BN91" s="35" t="str">
        <f t="shared" si="142"/>
        <v/>
      </c>
      <c r="BO91" s="35" t="str">
        <f t="shared" si="143"/>
        <v/>
      </c>
      <c r="BP91" s="32" t="str">
        <f t="shared" si="104"/>
        <v/>
      </c>
      <c r="BQ91" s="35" t="str">
        <f t="shared" si="144"/>
        <v/>
      </c>
      <c r="BR91" s="37" t="str">
        <f t="shared" si="110"/>
        <v/>
      </c>
      <c r="BS91" s="1"/>
    </row>
    <row r="92" spans="2:71" ht="70.5" customHeight="1" x14ac:dyDescent="0.25">
      <c r="B92" s="63"/>
      <c r="C92" s="64" t="str">
        <f>IFERROR(VLOOKUP(B92,Table_PrewrittenCode[#All],2,0),"")</f>
        <v/>
      </c>
      <c r="D92" s="32" t="str">
        <f>IFERROR(VLOOKUP(B92,Table_PrewrittenCode[#All],3,0),"")</f>
        <v/>
      </c>
      <c r="E92" s="54"/>
      <c r="F92" s="58" t="str">
        <f t="shared" si="111"/>
        <v/>
      </c>
      <c r="G92" s="54"/>
      <c r="H92" s="59" t="str">
        <f t="shared" si="112"/>
        <v/>
      </c>
      <c r="I92" s="48" t="str">
        <f t="shared" si="113"/>
        <v/>
      </c>
      <c r="J92" s="54"/>
      <c r="K92" s="60" t="str">
        <f t="shared" si="57"/>
        <v/>
      </c>
      <c r="L92" s="32" t="str">
        <f t="shared" si="114"/>
        <v/>
      </c>
      <c r="M92" s="32" t="str">
        <f t="shared" si="115"/>
        <v/>
      </c>
      <c r="N92" s="55"/>
      <c r="O92" s="66" t="str">
        <f t="shared" si="109"/>
        <v/>
      </c>
      <c r="P92" s="65"/>
      <c r="Q92" s="60" t="str">
        <f t="shared" si="60"/>
        <v/>
      </c>
      <c r="R92" s="32" t="str">
        <f t="shared" si="61"/>
        <v/>
      </c>
      <c r="S92" s="34" t="str">
        <f t="shared" si="62"/>
        <v/>
      </c>
      <c r="T92" s="32" t="str">
        <f t="shared" si="63"/>
        <v/>
      </c>
      <c r="U92" s="32" t="str">
        <f t="shared" si="64"/>
        <v/>
      </c>
      <c r="V92" s="32" t="str">
        <f t="shared" si="65"/>
        <v/>
      </c>
      <c r="W92" s="32" t="str">
        <f t="shared" si="66"/>
        <v/>
      </c>
      <c r="X92" s="32" t="str">
        <f t="shared" si="67"/>
        <v/>
      </c>
      <c r="Y92" s="32" t="str">
        <f t="shared" si="68"/>
        <v/>
      </c>
      <c r="Z92" s="32" t="str">
        <f t="shared" si="116"/>
        <v/>
      </c>
      <c r="AA92" s="32" t="str">
        <f t="shared" si="70"/>
        <v/>
      </c>
      <c r="AB92" s="32" t="str">
        <f t="shared" si="117"/>
        <v/>
      </c>
      <c r="AC92" s="35" t="str">
        <f t="shared" si="118"/>
        <v/>
      </c>
      <c r="AD92" s="32" t="str">
        <f t="shared" si="119"/>
        <v/>
      </c>
      <c r="AE92" s="32" t="str">
        <f t="shared" si="120"/>
        <v/>
      </c>
      <c r="AF92" s="32" t="str">
        <f t="shared" si="121"/>
        <v/>
      </c>
      <c r="AG92" s="32" t="str">
        <f t="shared" si="122"/>
        <v/>
      </c>
      <c r="AH92" s="32" t="str">
        <f t="shared" si="123"/>
        <v/>
      </c>
      <c r="AI92" s="32" t="str">
        <f t="shared" si="124"/>
        <v/>
      </c>
      <c r="AJ92" s="32" t="str">
        <f t="shared" si="125"/>
        <v/>
      </c>
      <c r="AK92" s="61" t="str">
        <f t="shared" si="126"/>
        <v/>
      </c>
      <c r="AL92" s="54"/>
      <c r="AM92" s="60" t="str">
        <f t="shared" si="127"/>
        <v/>
      </c>
      <c r="AN92" s="38"/>
      <c r="AO92" s="32" t="str">
        <f t="shared" si="128"/>
        <v/>
      </c>
      <c r="AP92" s="32" t="str">
        <f t="shared" si="129"/>
        <v/>
      </c>
      <c r="AQ92" s="32" t="str">
        <f t="shared" si="130"/>
        <v/>
      </c>
      <c r="AR92" s="32" t="str">
        <f t="shared" si="85"/>
        <v/>
      </c>
      <c r="AS92" s="32" t="str">
        <f t="shared" si="131"/>
        <v/>
      </c>
      <c r="AT92" s="32" t="str">
        <f t="shared" si="132"/>
        <v/>
      </c>
      <c r="AU92" s="32" t="str">
        <f t="shared" si="133"/>
        <v/>
      </c>
      <c r="AV92" s="32" t="str">
        <f t="shared" si="134"/>
        <v/>
      </c>
      <c r="AW92" s="32" t="str">
        <f t="shared" si="90"/>
        <v/>
      </c>
      <c r="AX92" s="32" t="str">
        <f t="shared" si="91"/>
        <v/>
      </c>
      <c r="AY92" s="32" t="str">
        <f t="shared" si="92"/>
        <v/>
      </c>
      <c r="AZ92" s="32" t="str">
        <f t="shared" si="93"/>
        <v/>
      </c>
      <c r="BA92" s="32" t="str">
        <f t="shared" si="94"/>
        <v/>
      </c>
      <c r="BB92" s="70"/>
      <c r="BC92" s="71" t="str">
        <f t="shared" si="135"/>
        <v/>
      </c>
      <c r="BD92" s="55"/>
      <c r="BE92" s="62" t="str">
        <f t="shared" si="136"/>
        <v/>
      </c>
      <c r="BF92" s="35" t="str">
        <f t="shared" si="137"/>
        <v/>
      </c>
      <c r="BG92" s="38"/>
      <c r="BH92" s="35" t="str">
        <f t="shared" si="138"/>
        <v/>
      </c>
      <c r="BI92" s="35" t="str">
        <f t="shared" si="139"/>
        <v/>
      </c>
      <c r="BJ92" s="38"/>
      <c r="BK92" s="35" t="str">
        <f t="shared" si="140"/>
        <v/>
      </c>
      <c r="BL92" s="35" t="str">
        <f t="shared" si="141"/>
        <v/>
      </c>
      <c r="BM92" s="38"/>
      <c r="BN92" s="35" t="str">
        <f t="shared" si="142"/>
        <v/>
      </c>
      <c r="BO92" s="35" t="str">
        <f t="shared" si="143"/>
        <v/>
      </c>
      <c r="BP92" s="32" t="str">
        <f t="shared" si="104"/>
        <v/>
      </c>
      <c r="BQ92" s="35" t="str">
        <f t="shared" si="144"/>
        <v/>
      </c>
      <c r="BR92" s="37" t="str">
        <f t="shared" si="110"/>
        <v/>
      </c>
      <c r="BS92" s="1"/>
    </row>
    <row r="93" spans="2:71" ht="70.5" customHeight="1" x14ac:dyDescent="0.25">
      <c r="B93" s="63"/>
      <c r="C93" s="64" t="str">
        <f>IFERROR(VLOOKUP(B93,Table_PrewrittenCode[#All],2,0),"")</f>
        <v/>
      </c>
      <c r="D93" s="32" t="str">
        <f>IFERROR(VLOOKUP(B93,Table_PrewrittenCode[#All],3,0),"")</f>
        <v/>
      </c>
      <c r="E93" s="54"/>
      <c r="F93" s="58" t="str">
        <f t="shared" si="111"/>
        <v/>
      </c>
      <c r="G93" s="54"/>
      <c r="H93" s="59" t="str">
        <f t="shared" si="112"/>
        <v/>
      </c>
      <c r="I93" s="48" t="str">
        <f t="shared" si="113"/>
        <v/>
      </c>
      <c r="J93" s="54"/>
      <c r="K93" s="60" t="str">
        <f t="shared" si="57"/>
        <v/>
      </c>
      <c r="L93" s="32" t="str">
        <f t="shared" si="114"/>
        <v/>
      </c>
      <c r="M93" s="32" t="str">
        <f t="shared" si="115"/>
        <v/>
      </c>
      <c r="N93" s="55"/>
      <c r="O93" s="66" t="str">
        <f t="shared" si="109"/>
        <v/>
      </c>
      <c r="P93" s="65"/>
      <c r="Q93" s="60" t="str">
        <f t="shared" si="60"/>
        <v/>
      </c>
      <c r="R93" s="32" t="str">
        <f t="shared" si="61"/>
        <v/>
      </c>
      <c r="S93" s="34" t="str">
        <f t="shared" si="62"/>
        <v/>
      </c>
      <c r="T93" s="32" t="str">
        <f t="shared" si="63"/>
        <v/>
      </c>
      <c r="U93" s="32" t="str">
        <f t="shared" si="64"/>
        <v/>
      </c>
      <c r="V93" s="32" t="str">
        <f t="shared" si="65"/>
        <v/>
      </c>
      <c r="W93" s="32" t="str">
        <f t="shared" si="66"/>
        <v/>
      </c>
      <c r="X93" s="32" t="str">
        <f t="shared" si="67"/>
        <v/>
      </c>
      <c r="Y93" s="32" t="str">
        <f t="shared" si="68"/>
        <v/>
      </c>
      <c r="Z93" s="32" t="str">
        <f t="shared" si="116"/>
        <v/>
      </c>
      <c r="AA93" s="32" t="str">
        <f t="shared" si="70"/>
        <v/>
      </c>
      <c r="AB93" s="32" t="str">
        <f t="shared" si="117"/>
        <v/>
      </c>
      <c r="AC93" s="35" t="str">
        <f t="shared" si="118"/>
        <v/>
      </c>
      <c r="AD93" s="32" t="str">
        <f t="shared" si="119"/>
        <v/>
      </c>
      <c r="AE93" s="32" t="str">
        <f t="shared" si="120"/>
        <v/>
      </c>
      <c r="AF93" s="32" t="str">
        <f t="shared" si="121"/>
        <v/>
      </c>
      <c r="AG93" s="32" t="str">
        <f t="shared" si="122"/>
        <v/>
      </c>
      <c r="AH93" s="32" t="str">
        <f t="shared" si="123"/>
        <v/>
      </c>
      <c r="AI93" s="32" t="str">
        <f t="shared" si="124"/>
        <v/>
      </c>
      <c r="AJ93" s="32" t="str">
        <f t="shared" si="125"/>
        <v/>
      </c>
      <c r="AK93" s="61" t="str">
        <f t="shared" si="126"/>
        <v/>
      </c>
      <c r="AL93" s="54"/>
      <c r="AM93" s="60" t="str">
        <f t="shared" si="127"/>
        <v/>
      </c>
      <c r="AN93" s="38"/>
      <c r="AO93" s="32" t="str">
        <f t="shared" si="128"/>
        <v/>
      </c>
      <c r="AP93" s="32" t="str">
        <f t="shared" si="129"/>
        <v/>
      </c>
      <c r="AQ93" s="32" t="str">
        <f t="shared" si="130"/>
        <v/>
      </c>
      <c r="AR93" s="32" t="str">
        <f t="shared" si="85"/>
        <v/>
      </c>
      <c r="AS93" s="32" t="str">
        <f t="shared" si="131"/>
        <v/>
      </c>
      <c r="AT93" s="32" t="str">
        <f t="shared" si="132"/>
        <v/>
      </c>
      <c r="AU93" s="32" t="str">
        <f t="shared" si="133"/>
        <v/>
      </c>
      <c r="AV93" s="32" t="str">
        <f t="shared" si="134"/>
        <v/>
      </c>
      <c r="AW93" s="32" t="str">
        <f t="shared" si="90"/>
        <v/>
      </c>
      <c r="AX93" s="32" t="str">
        <f t="shared" si="91"/>
        <v/>
      </c>
      <c r="AY93" s="32" t="str">
        <f t="shared" si="92"/>
        <v/>
      </c>
      <c r="AZ93" s="32" t="str">
        <f t="shared" si="93"/>
        <v/>
      </c>
      <c r="BA93" s="32" t="str">
        <f t="shared" si="94"/>
        <v/>
      </c>
      <c r="BB93" s="70"/>
      <c r="BC93" s="71" t="str">
        <f t="shared" si="135"/>
        <v/>
      </c>
      <c r="BD93" s="55"/>
      <c r="BE93" s="62" t="str">
        <f t="shared" si="136"/>
        <v/>
      </c>
      <c r="BF93" s="35" t="str">
        <f t="shared" si="137"/>
        <v/>
      </c>
      <c r="BG93" s="38"/>
      <c r="BH93" s="35" t="str">
        <f t="shared" si="138"/>
        <v/>
      </c>
      <c r="BI93" s="35" t="str">
        <f t="shared" si="139"/>
        <v/>
      </c>
      <c r="BJ93" s="38"/>
      <c r="BK93" s="35" t="str">
        <f t="shared" si="140"/>
        <v/>
      </c>
      <c r="BL93" s="35" t="str">
        <f t="shared" si="141"/>
        <v/>
      </c>
      <c r="BM93" s="38"/>
      <c r="BN93" s="35" t="str">
        <f t="shared" si="142"/>
        <v/>
      </c>
      <c r="BO93" s="35" t="str">
        <f t="shared" si="143"/>
        <v/>
      </c>
      <c r="BP93" s="32" t="str">
        <f t="shared" si="104"/>
        <v/>
      </c>
      <c r="BQ93" s="35" t="str">
        <f t="shared" si="144"/>
        <v/>
      </c>
      <c r="BR93" s="37" t="str">
        <f t="shared" si="110"/>
        <v/>
      </c>
      <c r="BS93" s="1"/>
    </row>
    <row r="94" spans="2:71" ht="70.5" customHeight="1" x14ac:dyDescent="0.25">
      <c r="B94" s="63"/>
      <c r="C94" s="64" t="str">
        <f>IFERROR(VLOOKUP(B94,Table_PrewrittenCode[#All],2,0),"")</f>
        <v/>
      </c>
      <c r="D94" s="32" t="str">
        <f>IFERROR(VLOOKUP(B94,Table_PrewrittenCode[#All],3,0),"")</f>
        <v/>
      </c>
      <c r="E94" s="54"/>
      <c r="F94" s="58" t="str">
        <f t="shared" si="111"/>
        <v/>
      </c>
      <c r="G94" s="54"/>
      <c r="H94" s="59" t="str">
        <f t="shared" si="112"/>
        <v/>
      </c>
      <c r="I94" s="48" t="str">
        <f t="shared" si="113"/>
        <v/>
      </c>
      <c r="J94" s="54"/>
      <c r="K94" s="60" t="str">
        <f t="shared" si="57"/>
        <v/>
      </c>
      <c r="L94" s="32" t="str">
        <f t="shared" si="114"/>
        <v/>
      </c>
      <c r="M94" s="32" t="str">
        <f t="shared" si="115"/>
        <v/>
      </c>
      <c r="N94" s="55"/>
      <c r="O94" s="66" t="str">
        <f t="shared" si="109"/>
        <v/>
      </c>
      <c r="P94" s="65"/>
      <c r="Q94" s="60" t="str">
        <f t="shared" si="60"/>
        <v/>
      </c>
      <c r="R94" s="32" t="str">
        <f t="shared" si="61"/>
        <v/>
      </c>
      <c r="S94" s="34" t="str">
        <f t="shared" si="62"/>
        <v/>
      </c>
      <c r="T94" s="32" t="str">
        <f t="shared" si="63"/>
        <v/>
      </c>
      <c r="U94" s="32" t="str">
        <f t="shared" si="64"/>
        <v/>
      </c>
      <c r="V94" s="32" t="str">
        <f t="shared" si="65"/>
        <v/>
      </c>
      <c r="W94" s="32" t="str">
        <f t="shared" si="66"/>
        <v/>
      </c>
      <c r="X94" s="32" t="str">
        <f t="shared" si="67"/>
        <v/>
      </c>
      <c r="Y94" s="32" t="str">
        <f t="shared" si="68"/>
        <v/>
      </c>
      <c r="Z94" s="32" t="str">
        <f t="shared" si="116"/>
        <v/>
      </c>
      <c r="AA94" s="32" t="str">
        <f t="shared" si="70"/>
        <v/>
      </c>
      <c r="AB94" s="32" t="str">
        <f t="shared" si="117"/>
        <v/>
      </c>
      <c r="AC94" s="35" t="str">
        <f t="shared" si="118"/>
        <v/>
      </c>
      <c r="AD94" s="32" t="str">
        <f t="shared" si="119"/>
        <v/>
      </c>
      <c r="AE94" s="32" t="str">
        <f t="shared" si="120"/>
        <v/>
      </c>
      <c r="AF94" s="32" t="str">
        <f t="shared" si="121"/>
        <v/>
      </c>
      <c r="AG94" s="32" t="str">
        <f t="shared" si="122"/>
        <v/>
      </c>
      <c r="AH94" s="32" t="str">
        <f t="shared" si="123"/>
        <v/>
      </c>
      <c r="AI94" s="32" t="str">
        <f t="shared" si="124"/>
        <v/>
      </c>
      <c r="AJ94" s="32" t="str">
        <f t="shared" si="125"/>
        <v/>
      </c>
      <c r="AK94" s="61" t="str">
        <f t="shared" si="126"/>
        <v/>
      </c>
      <c r="AL94" s="54"/>
      <c r="AM94" s="60" t="str">
        <f t="shared" si="127"/>
        <v/>
      </c>
      <c r="AN94" s="38"/>
      <c r="AO94" s="32" t="str">
        <f t="shared" si="128"/>
        <v/>
      </c>
      <c r="AP94" s="32" t="str">
        <f t="shared" si="129"/>
        <v/>
      </c>
      <c r="AQ94" s="32" t="str">
        <f t="shared" si="130"/>
        <v/>
      </c>
      <c r="AR94" s="32" t="str">
        <f t="shared" si="85"/>
        <v/>
      </c>
      <c r="AS94" s="32" t="str">
        <f t="shared" si="131"/>
        <v/>
      </c>
      <c r="AT94" s="32" t="str">
        <f t="shared" si="132"/>
        <v/>
      </c>
      <c r="AU94" s="32" t="str">
        <f t="shared" si="133"/>
        <v/>
      </c>
      <c r="AV94" s="32" t="str">
        <f t="shared" si="134"/>
        <v/>
      </c>
      <c r="AW94" s="32" t="str">
        <f t="shared" si="90"/>
        <v/>
      </c>
      <c r="AX94" s="32" t="str">
        <f t="shared" si="91"/>
        <v/>
      </c>
      <c r="AY94" s="32" t="str">
        <f t="shared" si="92"/>
        <v/>
      </c>
      <c r="AZ94" s="32" t="str">
        <f t="shared" si="93"/>
        <v/>
      </c>
      <c r="BA94" s="32" t="str">
        <f t="shared" si="94"/>
        <v/>
      </c>
      <c r="BB94" s="70"/>
      <c r="BC94" s="71" t="str">
        <f t="shared" si="135"/>
        <v/>
      </c>
      <c r="BD94" s="55"/>
      <c r="BE94" s="62" t="str">
        <f t="shared" si="136"/>
        <v/>
      </c>
      <c r="BF94" s="35" t="str">
        <f t="shared" si="137"/>
        <v/>
      </c>
      <c r="BG94" s="38"/>
      <c r="BH94" s="35" t="str">
        <f t="shared" si="138"/>
        <v/>
      </c>
      <c r="BI94" s="35" t="str">
        <f t="shared" si="139"/>
        <v/>
      </c>
      <c r="BJ94" s="38"/>
      <c r="BK94" s="35" t="str">
        <f t="shared" si="140"/>
        <v/>
      </c>
      <c r="BL94" s="35" t="str">
        <f t="shared" si="141"/>
        <v/>
      </c>
      <c r="BM94" s="38"/>
      <c r="BN94" s="35" t="str">
        <f t="shared" si="142"/>
        <v/>
      </c>
      <c r="BO94" s="35" t="str">
        <f t="shared" si="143"/>
        <v/>
      </c>
      <c r="BP94" s="32" t="str">
        <f t="shared" si="104"/>
        <v/>
      </c>
      <c r="BQ94" s="35" t="str">
        <f t="shared" si="144"/>
        <v/>
      </c>
      <c r="BR94" s="37" t="str">
        <f t="shared" si="110"/>
        <v/>
      </c>
      <c r="BS94" s="1"/>
    </row>
    <row r="95" spans="2:71" ht="70.5" customHeight="1" x14ac:dyDescent="0.25">
      <c r="B95" s="63"/>
      <c r="C95" s="64" t="str">
        <f>IFERROR(VLOOKUP(B95,Table_PrewrittenCode[#All],2,0),"")</f>
        <v/>
      </c>
      <c r="D95" s="32" t="str">
        <f>IFERROR(VLOOKUP(B95,Table_PrewrittenCode[#All],3,0),"")</f>
        <v/>
      </c>
      <c r="E95" s="54"/>
      <c r="F95" s="58" t="str">
        <f t="shared" si="111"/>
        <v/>
      </c>
      <c r="G95" s="54"/>
      <c r="H95" s="59" t="str">
        <f t="shared" si="112"/>
        <v/>
      </c>
      <c r="I95" s="48" t="str">
        <f t="shared" si="113"/>
        <v/>
      </c>
      <c r="J95" s="54"/>
      <c r="K95" s="60" t="str">
        <f t="shared" si="57"/>
        <v/>
      </c>
      <c r="L95" s="32" t="str">
        <f t="shared" si="114"/>
        <v/>
      </c>
      <c r="M95" s="32" t="str">
        <f t="shared" si="115"/>
        <v/>
      </c>
      <c r="N95" s="55"/>
      <c r="O95" s="66" t="str">
        <f t="shared" si="109"/>
        <v/>
      </c>
      <c r="P95" s="65"/>
      <c r="Q95" s="60" t="str">
        <f t="shared" si="60"/>
        <v/>
      </c>
      <c r="R95" s="32" t="str">
        <f t="shared" si="61"/>
        <v/>
      </c>
      <c r="S95" s="34" t="str">
        <f t="shared" si="62"/>
        <v/>
      </c>
      <c r="T95" s="32" t="str">
        <f t="shared" si="63"/>
        <v/>
      </c>
      <c r="U95" s="32" t="str">
        <f t="shared" si="64"/>
        <v/>
      </c>
      <c r="V95" s="32" t="str">
        <f t="shared" si="65"/>
        <v/>
      </c>
      <c r="W95" s="32" t="str">
        <f t="shared" si="66"/>
        <v/>
      </c>
      <c r="X95" s="32" t="str">
        <f t="shared" si="67"/>
        <v/>
      </c>
      <c r="Y95" s="32" t="str">
        <f t="shared" si="68"/>
        <v/>
      </c>
      <c r="Z95" s="32" t="str">
        <f t="shared" si="116"/>
        <v/>
      </c>
      <c r="AA95" s="32" t="str">
        <f t="shared" si="70"/>
        <v/>
      </c>
      <c r="AB95" s="32" t="str">
        <f t="shared" si="117"/>
        <v/>
      </c>
      <c r="AC95" s="35" t="str">
        <f t="shared" si="118"/>
        <v/>
      </c>
      <c r="AD95" s="32" t="str">
        <f t="shared" si="119"/>
        <v/>
      </c>
      <c r="AE95" s="32" t="str">
        <f t="shared" si="120"/>
        <v/>
      </c>
      <c r="AF95" s="32" t="str">
        <f t="shared" si="121"/>
        <v/>
      </c>
      <c r="AG95" s="32" t="str">
        <f t="shared" si="122"/>
        <v/>
      </c>
      <c r="AH95" s="32" t="str">
        <f t="shared" si="123"/>
        <v/>
      </c>
      <c r="AI95" s="32" t="str">
        <f t="shared" si="124"/>
        <v/>
      </c>
      <c r="AJ95" s="32" t="str">
        <f t="shared" si="125"/>
        <v/>
      </c>
      <c r="AK95" s="61" t="str">
        <f t="shared" si="126"/>
        <v/>
      </c>
      <c r="AL95" s="54"/>
      <c r="AM95" s="60" t="str">
        <f t="shared" si="127"/>
        <v/>
      </c>
      <c r="AN95" s="38"/>
      <c r="AO95" s="32" t="str">
        <f t="shared" si="128"/>
        <v/>
      </c>
      <c r="AP95" s="32" t="str">
        <f t="shared" si="129"/>
        <v/>
      </c>
      <c r="AQ95" s="32" t="str">
        <f t="shared" si="130"/>
        <v/>
      </c>
      <c r="AR95" s="32" t="str">
        <f t="shared" si="85"/>
        <v/>
      </c>
      <c r="AS95" s="32" t="str">
        <f t="shared" si="131"/>
        <v/>
      </c>
      <c r="AT95" s="32" t="str">
        <f t="shared" si="132"/>
        <v/>
      </c>
      <c r="AU95" s="32" t="str">
        <f t="shared" si="133"/>
        <v/>
      </c>
      <c r="AV95" s="32" t="str">
        <f t="shared" si="134"/>
        <v/>
      </c>
      <c r="AW95" s="32" t="str">
        <f t="shared" si="90"/>
        <v/>
      </c>
      <c r="AX95" s="32" t="str">
        <f t="shared" si="91"/>
        <v/>
      </c>
      <c r="AY95" s="32" t="str">
        <f t="shared" si="92"/>
        <v/>
      </c>
      <c r="AZ95" s="32" t="str">
        <f t="shared" si="93"/>
        <v/>
      </c>
      <c r="BA95" s="32" t="str">
        <f t="shared" si="94"/>
        <v/>
      </c>
      <c r="BB95" s="70"/>
      <c r="BC95" s="71" t="str">
        <f t="shared" si="135"/>
        <v/>
      </c>
      <c r="BD95" s="55"/>
      <c r="BE95" s="62" t="str">
        <f t="shared" si="136"/>
        <v/>
      </c>
      <c r="BF95" s="35" t="str">
        <f t="shared" si="137"/>
        <v/>
      </c>
      <c r="BG95" s="38"/>
      <c r="BH95" s="35" t="str">
        <f t="shared" si="138"/>
        <v/>
      </c>
      <c r="BI95" s="35" t="str">
        <f t="shared" si="139"/>
        <v/>
      </c>
      <c r="BJ95" s="38"/>
      <c r="BK95" s="35" t="str">
        <f t="shared" si="140"/>
        <v/>
      </c>
      <c r="BL95" s="35" t="str">
        <f t="shared" si="141"/>
        <v/>
      </c>
      <c r="BM95" s="38"/>
      <c r="BN95" s="35" t="str">
        <f t="shared" si="142"/>
        <v/>
      </c>
      <c r="BO95" s="35" t="str">
        <f t="shared" si="143"/>
        <v/>
      </c>
      <c r="BP95" s="32" t="str">
        <f t="shared" si="104"/>
        <v/>
      </c>
      <c r="BQ95" s="35" t="str">
        <f t="shared" si="144"/>
        <v/>
      </c>
      <c r="BR95" s="37" t="str">
        <f t="shared" si="110"/>
        <v/>
      </c>
      <c r="BS95" s="1"/>
    </row>
    <row r="96" spans="2:71" ht="70.5" customHeight="1" x14ac:dyDescent="0.25">
      <c r="B96" s="63"/>
      <c r="C96" s="64" t="str">
        <f>IFERROR(VLOOKUP(B96,Table_PrewrittenCode[#All],2,0),"")</f>
        <v/>
      </c>
      <c r="D96" s="32" t="str">
        <f>IFERROR(VLOOKUP(B96,Table_PrewrittenCode[#All],3,0),"")</f>
        <v/>
      </c>
      <c r="E96" s="54"/>
      <c r="F96" s="58" t="str">
        <f t="shared" si="111"/>
        <v/>
      </c>
      <c r="G96" s="54"/>
      <c r="H96" s="59" t="str">
        <f t="shared" si="112"/>
        <v/>
      </c>
      <c r="I96" s="48" t="str">
        <f t="shared" si="113"/>
        <v/>
      </c>
      <c r="J96" s="54"/>
      <c r="K96" s="60" t="str">
        <f t="shared" si="57"/>
        <v/>
      </c>
      <c r="L96" s="32" t="str">
        <f t="shared" si="114"/>
        <v/>
      </c>
      <c r="M96" s="32" t="str">
        <f t="shared" si="115"/>
        <v/>
      </c>
      <c r="N96" s="55"/>
      <c r="O96" s="66" t="str">
        <f t="shared" si="109"/>
        <v/>
      </c>
      <c r="P96" s="65"/>
      <c r="Q96" s="60" t="str">
        <f t="shared" si="60"/>
        <v/>
      </c>
      <c r="R96" s="32" t="str">
        <f t="shared" si="61"/>
        <v/>
      </c>
      <c r="S96" s="34" t="str">
        <f t="shared" si="62"/>
        <v/>
      </c>
      <c r="T96" s="32" t="str">
        <f t="shared" si="63"/>
        <v/>
      </c>
      <c r="U96" s="32" t="str">
        <f t="shared" si="64"/>
        <v/>
      </c>
      <c r="V96" s="32" t="str">
        <f t="shared" si="65"/>
        <v/>
      </c>
      <c r="W96" s="32" t="str">
        <f t="shared" si="66"/>
        <v/>
      </c>
      <c r="X96" s="32" t="str">
        <f t="shared" si="67"/>
        <v/>
      </c>
      <c r="Y96" s="32" t="str">
        <f t="shared" si="68"/>
        <v/>
      </c>
      <c r="Z96" s="32" t="str">
        <f t="shared" si="116"/>
        <v/>
      </c>
      <c r="AA96" s="32" t="str">
        <f t="shared" si="70"/>
        <v/>
      </c>
      <c r="AB96" s="32" t="str">
        <f t="shared" si="117"/>
        <v/>
      </c>
      <c r="AC96" s="35" t="str">
        <f t="shared" si="118"/>
        <v/>
      </c>
      <c r="AD96" s="32" t="str">
        <f t="shared" si="119"/>
        <v/>
      </c>
      <c r="AE96" s="32" t="str">
        <f t="shared" si="120"/>
        <v/>
      </c>
      <c r="AF96" s="32" t="str">
        <f t="shared" si="121"/>
        <v/>
      </c>
      <c r="AG96" s="32" t="str">
        <f t="shared" si="122"/>
        <v/>
      </c>
      <c r="AH96" s="32" t="str">
        <f t="shared" si="123"/>
        <v/>
      </c>
      <c r="AI96" s="32" t="str">
        <f t="shared" si="124"/>
        <v/>
      </c>
      <c r="AJ96" s="32" t="str">
        <f t="shared" si="125"/>
        <v/>
      </c>
      <c r="AK96" s="61" t="str">
        <f t="shared" si="126"/>
        <v/>
      </c>
      <c r="AL96" s="54"/>
      <c r="AM96" s="60" t="str">
        <f t="shared" si="127"/>
        <v/>
      </c>
      <c r="AN96" s="38"/>
      <c r="AO96" s="32" t="str">
        <f t="shared" si="128"/>
        <v/>
      </c>
      <c r="AP96" s="32" t="str">
        <f t="shared" si="129"/>
        <v/>
      </c>
      <c r="AQ96" s="32" t="str">
        <f t="shared" si="130"/>
        <v/>
      </c>
      <c r="AR96" s="32" t="str">
        <f t="shared" si="85"/>
        <v/>
      </c>
      <c r="AS96" s="32" t="str">
        <f t="shared" si="131"/>
        <v/>
      </c>
      <c r="AT96" s="32" t="str">
        <f t="shared" si="132"/>
        <v/>
      </c>
      <c r="AU96" s="32" t="str">
        <f t="shared" si="133"/>
        <v/>
      </c>
      <c r="AV96" s="32" t="str">
        <f t="shared" si="134"/>
        <v/>
      </c>
      <c r="AW96" s="32" t="str">
        <f t="shared" si="90"/>
        <v/>
      </c>
      <c r="AX96" s="32" t="str">
        <f t="shared" si="91"/>
        <v/>
      </c>
      <c r="AY96" s="32" t="str">
        <f t="shared" si="92"/>
        <v/>
      </c>
      <c r="AZ96" s="32" t="str">
        <f t="shared" si="93"/>
        <v/>
      </c>
      <c r="BA96" s="32" t="str">
        <f t="shared" si="94"/>
        <v/>
      </c>
      <c r="BB96" s="70"/>
      <c r="BC96" s="71" t="str">
        <f t="shared" si="135"/>
        <v/>
      </c>
      <c r="BD96" s="55"/>
      <c r="BE96" s="62" t="str">
        <f t="shared" si="136"/>
        <v/>
      </c>
      <c r="BF96" s="35" t="str">
        <f t="shared" si="137"/>
        <v/>
      </c>
      <c r="BG96" s="38"/>
      <c r="BH96" s="35" t="str">
        <f t="shared" si="138"/>
        <v/>
      </c>
      <c r="BI96" s="35" t="str">
        <f t="shared" si="139"/>
        <v/>
      </c>
      <c r="BJ96" s="38"/>
      <c r="BK96" s="35" t="str">
        <f t="shared" si="140"/>
        <v/>
      </c>
      <c r="BL96" s="35" t="str">
        <f t="shared" si="141"/>
        <v/>
      </c>
      <c r="BM96" s="38"/>
      <c r="BN96" s="35" t="str">
        <f t="shared" si="142"/>
        <v/>
      </c>
      <c r="BO96" s="35" t="str">
        <f t="shared" si="143"/>
        <v/>
      </c>
      <c r="BP96" s="32" t="str">
        <f t="shared" si="104"/>
        <v/>
      </c>
      <c r="BQ96" s="35" t="str">
        <f t="shared" si="144"/>
        <v/>
      </c>
      <c r="BR96" s="37" t="str">
        <f t="shared" si="110"/>
        <v/>
      </c>
      <c r="BS96" s="1"/>
    </row>
    <row r="97" spans="2:71" ht="70.5" customHeight="1" x14ac:dyDescent="0.25">
      <c r="B97" s="63"/>
      <c r="C97" s="64" t="str">
        <f>IFERROR(VLOOKUP(B97,Table_PrewrittenCode[#All],2,0),"")</f>
        <v/>
      </c>
      <c r="D97" s="32" t="str">
        <f>IFERROR(VLOOKUP(B97,Table_PrewrittenCode[#All],3,0),"")</f>
        <v/>
      </c>
      <c r="E97" s="54"/>
      <c r="F97" s="58" t="str">
        <f t="shared" si="111"/>
        <v/>
      </c>
      <c r="G97" s="54"/>
      <c r="H97" s="59" t="str">
        <f t="shared" si="112"/>
        <v/>
      </c>
      <c r="I97" s="48" t="str">
        <f t="shared" si="113"/>
        <v/>
      </c>
      <c r="J97" s="54"/>
      <c r="K97" s="60" t="str">
        <f t="shared" si="57"/>
        <v/>
      </c>
      <c r="L97" s="32" t="str">
        <f t="shared" si="114"/>
        <v/>
      </c>
      <c r="M97" s="32" t="str">
        <f t="shared" si="115"/>
        <v/>
      </c>
      <c r="N97" s="55"/>
      <c r="O97" s="66" t="str">
        <f t="shared" si="109"/>
        <v/>
      </c>
      <c r="P97" s="65"/>
      <c r="Q97" s="60" t="str">
        <f t="shared" si="60"/>
        <v/>
      </c>
      <c r="R97" s="32" t="str">
        <f t="shared" si="61"/>
        <v/>
      </c>
      <c r="S97" s="34" t="str">
        <f t="shared" si="62"/>
        <v/>
      </c>
      <c r="T97" s="32" t="str">
        <f t="shared" si="63"/>
        <v/>
      </c>
      <c r="U97" s="32" t="str">
        <f t="shared" si="64"/>
        <v/>
      </c>
      <c r="V97" s="32" t="str">
        <f t="shared" si="65"/>
        <v/>
      </c>
      <c r="W97" s="32" t="str">
        <f t="shared" si="66"/>
        <v/>
      </c>
      <c r="X97" s="32" t="str">
        <f t="shared" si="67"/>
        <v/>
      </c>
      <c r="Y97" s="32" t="str">
        <f t="shared" si="68"/>
        <v/>
      </c>
      <c r="Z97" s="32" t="str">
        <f t="shared" si="116"/>
        <v/>
      </c>
      <c r="AA97" s="32" t="str">
        <f t="shared" si="70"/>
        <v/>
      </c>
      <c r="AB97" s="32" t="str">
        <f t="shared" si="117"/>
        <v/>
      </c>
      <c r="AC97" s="35" t="str">
        <f t="shared" si="118"/>
        <v/>
      </c>
      <c r="AD97" s="32" t="str">
        <f t="shared" si="119"/>
        <v/>
      </c>
      <c r="AE97" s="32" t="str">
        <f t="shared" si="120"/>
        <v/>
      </c>
      <c r="AF97" s="32" t="str">
        <f t="shared" si="121"/>
        <v/>
      </c>
      <c r="AG97" s="32" t="str">
        <f t="shared" si="122"/>
        <v/>
      </c>
      <c r="AH97" s="32" t="str">
        <f t="shared" si="123"/>
        <v/>
      </c>
      <c r="AI97" s="32" t="str">
        <f t="shared" si="124"/>
        <v/>
      </c>
      <c r="AJ97" s="32" t="str">
        <f t="shared" si="125"/>
        <v/>
      </c>
      <c r="AK97" s="61" t="str">
        <f t="shared" si="126"/>
        <v/>
      </c>
      <c r="AL97" s="54"/>
      <c r="AM97" s="60" t="str">
        <f t="shared" si="127"/>
        <v/>
      </c>
      <c r="AN97" s="38"/>
      <c r="AO97" s="32" t="str">
        <f t="shared" si="128"/>
        <v/>
      </c>
      <c r="AP97" s="32" t="str">
        <f t="shared" si="129"/>
        <v/>
      </c>
      <c r="AQ97" s="32" t="str">
        <f t="shared" si="130"/>
        <v/>
      </c>
      <c r="AR97" s="32" t="str">
        <f t="shared" si="85"/>
        <v/>
      </c>
      <c r="AS97" s="32" t="str">
        <f t="shared" si="131"/>
        <v/>
      </c>
      <c r="AT97" s="32" t="str">
        <f t="shared" si="132"/>
        <v/>
      </c>
      <c r="AU97" s="32" t="str">
        <f t="shared" si="133"/>
        <v/>
      </c>
      <c r="AV97" s="32" t="str">
        <f t="shared" si="134"/>
        <v/>
      </c>
      <c r="AW97" s="32" t="str">
        <f t="shared" si="90"/>
        <v/>
      </c>
      <c r="AX97" s="32" t="str">
        <f t="shared" si="91"/>
        <v/>
      </c>
      <c r="AY97" s="32" t="str">
        <f t="shared" si="92"/>
        <v/>
      </c>
      <c r="AZ97" s="32" t="str">
        <f t="shared" si="93"/>
        <v/>
      </c>
      <c r="BA97" s="32" t="str">
        <f t="shared" si="94"/>
        <v/>
      </c>
      <c r="BB97" s="70"/>
      <c r="BC97" s="71" t="str">
        <f t="shared" si="135"/>
        <v/>
      </c>
      <c r="BD97" s="55"/>
      <c r="BE97" s="62" t="str">
        <f t="shared" si="136"/>
        <v/>
      </c>
      <c r="BF97" s="35" t="str">
        <f t="shared" si="137"/>
        <v/>
      </c>
      <c r="BG97" s="38"/>
      <c r="BH97" s="35" t="str">
        <f t="shared" si="138"/>
        <v/>
      </c>
      <c r="BI97" s="35" t="str">
        <f t="shared" si="139"/>
        <v/>
      </c>
      <c r="BJ97" s="38"/>
      <c r="BK97" s="35" t="str">
        <f t="shared" si="140"/>
        <v/>
      </c>
      <c r="BL97" s="35" t="str">
        <f t="shared" si="141"/>
        <v/>
      </c>
      <c r="BM97" s="38"/>
      <c r="BN97" s="35" t="str">
        <f t="shared" si="142"/>
        <v/>
      </c>
      <c r="BO97" s="35" t="str">
        <f t="shared" si="143"/>
        <v/>
      </c>
      <c r="BP97" s="32" t="str">
        <f t="shared" si="104"/>
        <v/>
      </c>
      <c r="BQ97" s="35" t="str">
        <f t="shared" si="144"/>
        <v/>
      </c>
      <c r="BR97" s="37" t="str">
        <f t="shared" si="110"/>
        <v/>
      </c>
      <c r="BS97" s="1"/>
    </row>
    <row r="98" spans="2:71" ht="70.5" customHeight="1" x14ac:dyDescent="0.25">
      <c r="B98" s="63"/>
      <c r="C98" s="64" t="str">
        <f>IFERROR(VLOOKUP(B98,Table_PrewrittenCode[#All],2,0),"")</f>
        <v/>
      </c>
      <c r="D98" s="32" t="str">
        <f>IFERROR(VLOOKUP(B98,Table_PrewrittenCode[#All],3,0),"")</f>
        <v/>
      </c>
      <c r="E98" s="54"/>
      <c r="F98" s="58" t="str">
        <f t="shared" si="111"/>
        <v/>
      </c>
      <c r="G98" s="54"/>
      <c r="H98" s="59" t="str">
        <f t="shared" si="112"/>
        <v/>
      </c>
      <c r="I98" s="48" t="str">
        <f t="shared" si="113"/>
        <v/>
      </c>
      <c r="J98" s="54"/>
      <c r="K98" s="60" t="str">
        <f t="shared" si="57"/>
        <v/>
      </c>
      <c r="L98" s="32" t="str">
        <f t="shared" si="114"/>
        <v/>
      </c>
      <c r="M98" s="32" t="str">
        <f t="shared" si="115"/>
        <v/>
      </c>
      <c r="N98" s="55"/>
      <c r="O98" s="66" t="str">
        <f t="shared" si="109"/>
        <v/>
      </c>
      <c r="P98" s="65"/>
      <c r="Q98" s="60" t="str">
        <f t="shared" si="60"/>
        <v/>
      </c>
      <c r="R98" s="32" t="str">
        <f t="shared" si="61"/>
        <v/>
      </c>
      <c r="S98" s="34" t="str">
        <f t="shared" si="62"/>
        <v/>
      </c>
      <c r="T98" s="32" t="str">
        <f t="shared" si="63"/>
        <v/>
      </c>
      <c r="U98" s="32" t="str">
        <f t="shared" si="64"/>
        <v/>
      </c>
      <c r="V98" s="32" t="str">
        <f t="shared" si="65"/>
        <v/>
      </c>
      <c r="W98" s="32" t="str">
        <f t="shared" si="66"/>
        <v/>
      </c>
      <c r="X98" s="32" t="str">
        <f t="shared" si="67"/>
        <v/>
      </c>
      <c r="Y98" s="32" t="str">
        <f t="shared" si="68"/>
        <v/>
      </c>
      <c r="Z98" s="32" t="str">
        <f t="shared" si="116"/>
        <v/>
      </c>
      <c r="AA98" s="32" t="str">
        <f t="shared" si="70"/>
        <v/>
      </c>
      <c r="AB98" s="32" t="str">
        <f t="shared" si="117"/>
        <v/>
      </c>
      <c r="AC98" s="35" t="str">
        <f t="shared" si="118"/>
        <v/>
      </c>
      <c r="AD98" s="32" t="str">
        <f t="shared" si="119"/>
        <v/>
      </c>
      <c r="AE98" s="32" t="str">
        <f t="shared" si="120"/>
        <v/>
      </c>
      <c r="AF98" s="32" t="str">
        <f t="shared" si="121"/>
        <v/>
      </c>
      <c r="AG98" s="32" t="str">
        <f t="shared" si="122"/>
        <v/>
      </c>
      <c r="AH98" s="32" t="str">
        <f t="shared" si="123"/>
        <v/>
      </c>
      <c r="AI98" s="32" t="str">
        <f t="shared" si="124"/>
        <v/>
      </c>
      <c r="AJ98" s="32" t="str">
        <f t="shared" si="125"/>
        <v/>
      </c>
      <c r="AK98" s="61" t="str">
        <f t="shared" si="126"/>
        <v/>
      </c>
      <c r="AL98" s="54"/>
      <c r="AM98" s="60" t="str">
        <f t="shared" si="127"/>
        <v/>
      </c>
      <c r="AN98" s="38"/>
      <c r="AO98" s="32" t="str">
        <f t="shared" si="128"/>
        <v/>
      </c>
      <c r="AP98" s="32" t="str">
        <f t="shared" si="129"/>
        <v/>
      </c>
      <c r="AQ98" s="32" t="str">
        <f t="shared" si="130"/>
        <v/>
      </c>
      <c r="AR98" s="32" t="str">
        <f t="shared" si="85"/>
        <v/>
      </c>
      <c r="AS98" s="32" t="str">
        <f t="shared" si="131"/>
        <v/>
      </c>
      <c r="AT98" s="32" t="str">
        <f t="shared" si="132"/>
        <v/>
      </c>
      <c r="AU98" s="32" t="str">
        <f t="shared" si="133"/>
        <v/>
      </c>
      <c r="AV98" s="32" t="str">
        <f t="shared" si="134"/>
        <v/>
      </c>
      <c r="AW98" s="32" t="str">
        <f t="shared" si="90"/>
        <v/>
      </c>
      <c r="AX98" s="32" t="str">
        <f t="shared" si="91"/>
        <v/>
      </c>
      <c r="AY98" s="32" t="str">
        <f t="shared" si="92"/>
        <v/>
      </c>
      <c r="AZ98" s="32" t="str">
        <f t="shared" si="93"/>
        <v/>
      </c>
      <c r="BA98" s="32" t="str">
        <f t="shared" si="94"/>
        <v/>
      </c>
      <c r="BB98" s="70"/>
      <c r="BC98" s="71" t="str">
        <f t="shared" si="135"/>
        <v/>
      </c>
      <c r="BD98" s="55"/>
      <c r="BE98" s="62" t="str">
        <f t="shared" si="136"/>
        <v/>
      </c>
      <c r="BF98" s="35" t="str">
        <f t="shared" si="137"/>
        <v/>
      </c>
      <c r="BG98" s="38"/>
      <c r="BH98" s="35" t="str">
        <f t="shared" si="138"/>
        <v/>
      </c>
      <c r="BI98" s="35" t="str">
        <f t="shared" si="139"/>
        <v/>
      </c>
      <c r="BJ98" s="38"/>
      <c r="BK98" s="35" t="str">
        <f t="shared" si="140"/>
        <v/>
      </c>
      <c r="BL98" s="35" t="str">
        <f t="shared" si="141"/>
        <v/>
      </c>
      <c r="BM98" s="38"/>
      <c r="BN98" s="35" t="str">
        <f t="shared" si="142"/>
        <v/>
      </c>
      <c r="BO98" s="35" t="str">
        <f t="shared" si="143"/>
        <v/>
      </c>
      <c r="BP98" s="32" t="str">
        <f t="shared" si="104"/>
        <v/>
      </c>
      <c r="BQ98" s="35" t="str">
        <f t="shared" si="144"/>
        <v/>
      </c>
      <c r="BR98" s="37" t="str">
        <f t="shared" si="110"/>
        <v/>
      </c>
      <c r="BS98" s="1"/>
    </row>
    <row r="99" spans="2:71" ht="70.5" customHeight="1" x14ac:dyDescent="0.25">
      <c r="B99" s="63"/>
      <c r="C99" s="64" t="str">
        <f>IFERROR(VLOOKUP(B99,Table_PrewrittenCode[#All],2,0),"")</f>
        <v/>
      </c>
      <c r="D99" s="32" t="str">
        <f>IFERROR(VLOOKUP(B99,Table_PrewrittenCode[#All],3,0),"")</f>
        <v/>
      </c>
      <c r="E99" s="54"/>
      <c r="F99" s="58" t="str">
        <f t="shared" si="111"/>
        <v/>
      </c>
      <c r="G99" s="54"/>
      <c r="H99" s="59" t="str">
        <f t="shared" si="112"/>
        <v/>
      </c>
      <c r="I99" s="48" t="str">
        <f t="shared" si="113"/>
        <v/>
      </c>
      <c r="J99" s="54"/>
      <c r="K99" s="60" t="str">
        <f t="shared" si="57"/>
        <v/>
      </c>
      <c r="L99" s="32" t="str">
        <f t="shared" si="114"/>
        <v/>
      </c>
      <c r="M99" s="32" t="str">
        <f t="shared" si="115"/>
        <v/>
      </c>
      <c r="N99" s="55"/>
      <c r="O99" s="66" t="str">
        <f t="shared" si="109"/>
        <v/>
      </c>
      <c r="P99" s="65"/>
      <c r="Q99" s="60" t="str">
        <f t="shared" si="60"/>
        <v/>
      </c>
      <c r="R99" s="32" t="str">
        <f t="shared" si="61"/>
        <v/>
      </c>
      <c r="S99" s="34" t="str">
        <f t="shared" si="62"/>
        <v/>
      </c>
      <c r="T99" s="32" t="str">
        <f t="shared" si="63"/>
        <v/>
      </c>
      <c r="U99" s="32" t="str">
        <f t="shared" si="64"/>
        <v/>
      </c>
      <c r="V99" s="32" t="str">
        <f t="shared" si="65"/>
        <v/>
      </c>
      <c r="W99" s="32" t="str">
        <f t="shared" si="66"/>
        <v/>
      </c>
      <c r="X99" s="32" t="str">
        <f t="shared" si="67"/>
        <v/>
      </c>
      <c r="Y99" s="32" t="str">
        <f t="shared" si="68"/>
        <v/>
      </c>
      <c r="Z99" s="32" t="str">
        <f t="shared" si="116"/>
        <v/>
      </c>
      <c r="AA99" s="32" t="str">
        <f t="shared" si="70"/>
        <v/>
      </c>
      <c r="AB99" s="32" t="str">
        <f t="shared" si="117"/>
        <v/>
      </c>
      <c r="AC99" s="35" t="str">
        <f t="shared" si="118"/>
        <v/>
      </c>
      <c r="AD99" s="32" t="str">
        <f t="shared" si="119"/>
        <v/>
      </c>
      <c r="AE99" s="32" t="str">
        <f t="shared" si="120"/>
        <v/>
      </c>
      <c r="AF99" s="32" t="str">
        <f t="shared" si="121"/>
        <v/>
      </c>
      <c r="AG99" s="32" t="str">
        <f t="shared" si="122"/>
        <v/>
      </c>
      <c r="AH99" s="32" t="str">
        <f t="shared" si="123"/>
        <v/>
      </c>
      <c r="AI99" s="32" t="str">
        <f t="shared" si="124"/>
        <v/>
      </c>
      <c r="AJ99" s="32" t="str">
        <f t="shared" si="125"/>
        <v/>
      </c>
      <c r="AK99" s="61" t="str">
        <f t="shared" si="126"/>
        <v/>
      </c>
      <c r="AL99" s="54"/>
      <c r="AM99" s="60" t="str">
        <f t="shared" si="127"/>
        <v/>
      </c>
      <c r="AN99" s="38"/>
      <c r="AO99" s="32" t="str">
        <f t="shared" si="128"/>
        <v/>
      </c>
      <c r="AP99" s="32" t="str">
        <f t="shared" si="129"/>
        <v/>
      </c>
      <c r="AQ99" s="32" t="str">
        <f t="shared" si="130"/>
        <v/>
      </c>
      <c r="AR99" s="32" t="str">
        <f t="shared" si="85"/>
        <v/>
      </c>
      <c r="AS99" s="32" t="str">
        <f t="shared" si="131"/>
        <v/>
      </c>
      <c r="AT99" s="32" t="str">
        <f t="shared" si="132"/>
        <v/>
      </c>
      <c r="AU99" s="32" t="str">
        <f t="shared" si="133"/>
        <v/>
      </c>
      <c r="AV99" s="32" t="str">
        <f t="shared" si="134"/>
        <v/>
      </c>
      <c r="AW99" s="32" t="str">
        <f t="shared" si="90"/>
        <v/>
      </c>
      <c r="AX99" s="32" t="str">
        <f t="shared" si="91"/>
        <v/>
      </c>
      <c r="AY99" s="32" t="str">
        <f t="shared" si="92"/>
        <v/>
      </c>
      <c r="AZ99" s="32" t="str">
        <f t="shared" si="93"/>
        <v/>
      </c>
      <c r="BA99" s="32" t="str">
        <f t="shared" si="94"/>
        <v/>
      </c>
      <c r="BB99" s="70"/>
      <c r="BC99" s="71" t="str">
        <f t="shared" si="135"/>
        <v/>
      </c>
      <c r="BD99" s="55"/>
      <c r="BE99" s="62" t="str">
        <f t="shared" si="136"/>
        <v/>
      </c>
      <c r="BF99" s="35" t="str">
        <f t="shared" si="137"/>
        <v/>
      </c>
      <c r="BG99" s="38"/>
      <c r="BH99" s="35" t="str">
        <f t="shared" si="138"/>
        <v/>
      </c>
      <c r="BI99" s="35" t="str">
        <f t="shared" si="139"/>
        <v/>
      </c>
      <c r="BJ99" s="38"/>
      <c r="BK99" s="35" t="str">
        <f t="shared" si="140"/>
        <v/>
      </c>
      <c r="BL99" s="35" t="str">
        <f t="shared" si="141"/>
        <v/>
      </c>
      <c r="BM99" s="38"/>
      <c r="BN99" s="35" t="str">
        <f t="shared" si="142"/>
        <v/>
      </c>
      <c r="BO99" s="35" t="str">
        <f t="shared" si="143"/>
        <v/>
      </c>
      <c r="BP99" s="32" t="str">
        <f t="shared" si="104"/>
        <v/>
      </c>
      <c r="BQ99" s="35" t="str">
        <f t="shared" si="144"/>
        <v/>
      </c>
      <c r="BR99" s="37" t="str">
        <f t="shared" si="110"/>
        <v/>
      </c>
      <c r="BS99" s="1"/>
    </row>
    <row r="100" spans="2:71" ht="70.5" customHeight="1" x14ac:dyDescent="0.25">
      <c r="BS100" s="1"/>
    </row>
    <row r="101" spans="2:71" ht="70.5" customHeight="1" x14ac:dyDescent="0.25">
      <c r="BS101" s="1"/>
    </row>
    <row r="102" spans="2:71" ht="70.5" customHeight="1" x14ac:dyDescent="0.25">
      <c r="BS102" s="1"/>
    </row>
    <row r="103" spans="2:71" ht="70.5" customHeight="1" x14ac:dyDescent="0.25">
      <c r="BS103" s="1"/>
    </row>
    <row r="104" spans="2:71" ht="70.5" customHeight="1" x14ac:dyDescent="0.25">
      <c r="BS104" s="1"/>
    </row>
    <row r="105" spans="2:71" ht="70.5" customHeight="1" x14ac:dyDescent="0.25">
      <c r="BS105" s="1"/>
    </row>
    <row r="106" spans="2:71" ht="70.5" customHeight="1" x14ac:dyDescent="0.25">
      <c r="BS106" s="1"/>
    </row>
    <row r="107" spans="2:71" ht="70.5" customHeight="1" x14ac:dyDescent="0.25">
      <c r="BS107" s="1"/>
    </row>
    <row r="108" spans="2:71" ht="70.5" customHeight="1" x14ac:dyDescent="0.25">
      <c r="BS108" s="1"/>
    </row>
    <row r="109" spans="2:71" ht="70.5" customHeight="1" x14ac:dyDescent="0.25">
      <c r="BS109" s="1"/>
    </row>
  </sheetData>
  <sheetProtection sheet="1" objects="1" scenarios="1" formatCells="0" formatColumns="0" formatRows="0" insertHyperlinks="0"/>
  <mergeCells count="6">
    <mergeCell ref="BB2:BP2"/>
    <mergeCell ref="C2:D2"/>
    <mergeCell ref="E2:F2"/>
    <mergeCell ref="G2:I2"/>
    <mergeCell ref="S2:BA2"/>
    <mergeCell ref="L2:M2"/>
  </mergeCells>
  <conditionalFormatting sqref="J1:J3 J89:J1048576 J69:J86">
    <cfRule type="expression" dxfId="248" priority="250">
      <formula>OR(B1="Start Internet Explorer",B1="Navigate to Webpage")</formula>
    </cfRule>
  </conditionalFormatting>
  <conditionalFormatting sqref="G1:G3 G89:G1048576 G69:G86">
    <cfRule type="expression" dxfId="247" priority="240">
      <formula>B1="Select Option"</formula>
    </cfRule>
    <cfRule type="expression" dxfId="246" priority="241">
      <formula>B1="Enter Text"</formula>
    </cfRule>
    <cfRule type="expression" dxfId="245" priority="246">
      <formula>B1="Click Button"</formula>
    </cfRule>
  </conditionalFormatting>
  <conditionalFormatting sqref="AK1:AK3 AK89:AK1048576 AK69:AK86">
    <cfRule type="expression" dxfId="244" priority="227">
      <formula>B1="Select Option"</formula>
    </cfRule>
    <cfRule type="expression" dxfId="243" priority="238">
      <formula>B1="Enter Text"</formula>
    </cfRule>
    <cfRule type="expression" dxfId="242" priority="244">
      <formula>B1="Click Button"</formula>
    </cfRule>
  </conditionalFormatting>
  <conditionalFormatting sqref="E1:E3 E89:E1048576 E69:E86">
    <cfRule type="expression" dxfId="241" priority="242">
      <formula>B1="Select Option"</formula>
    </cfRule>
    <cfRule type="expression" dxfId="240" priority="243">
      <formula>B1="Enter Text"</formula>
    </cfRule>
    <cfRule type="expression" dxfId="239" priority="245">
      <formula>$B1="Click Button"</formula>
    </cfRule>
  </conditionalFormatting>
  <conditionalFormatting sqref="P1:P3 P89:P1048576 P69:P86">
    <cfRule type="expression" dxfId="238" priority="224">
      <formula>B1="Message Box"</formula>
    </cfRule>
    <cfRule type="expression" dxfId="237" priority="225">
      <formula>B1="Input Box"</formula>
    </cfRule>
    <cfRule type="expression" dxfId="236" priority="239">
      <formula>B1="Enter Text"</formula>
    </cfRule>
  </conditionalFormatting>
  <conditionalFormatting sqref="B1:B3 B100:B1048576 B69:B86">
    <cfRule type="expression" dxfId="235" priority="231">
      <formula>B1="Fire Event"</formula>
    </cfRule>
    <cfRule type="expression" dxfId="234" priority="232">
      <formula>B1="Navigate to Webpage"</formula>
    </cfRule>
    <cfRule type="expression" dxfId="233" priority="233">
      <formula>B1="Make Explorer Wait"</formula>
    </cfRule>
    <cfRule type="expression" dxfId="232" priority="234">
      <formula>B1="Start Internet Explorer"</formula>
    </cfRule>
    <cfRule type="expression" dxfId="231" priority="235">
      <formula>B1="Select Option"</formula>
    </cfRule>
    <cfRule type="expression" dxfId="230" priority="236">
      <formula>B1="Click Button"</formula>
    </cfRule>
    <cfRule type="expression" dxfId="229" priority="237">
      <formula>B1="Enter Text"</formula>
    </cfRule>
  </conditionalFormatting>
  <conditionalFormatting sqref="BB1:BB3 BB89:BB1048576 BB69:BB86">
    <cfRule type="expression" dxfId="228" priority="229">
      <formula>B1="Select Option"</formula>
    </cfRule>
  </conditionalFormatting>
  <conditionalFormatting sqref="BD3">
    <cfRule type="expression" dxfId="227" priority="228">
      <formula>D3="Select Option"</formula>
    </cfRule>
  </conditionalFormatting>
  <conditionalFormatting sqref="K2">
    <cfRule type="expression" dxfId="226" priority="223">
      <formula>OR(C2="Start Internet Explorer",C2="Navigate to Webpage")</formula>
    </cfRule>
  </conditionalFormatting>
  <conditionalFormatting sqref="N1:N3 N89:N99 N69:N86">
    <cfRule type="expression" dxfId="225" priority="196">
      <formula>B1="Input Box"</formula>
    </cfRule>
    <cfRule type="expression" dxfId="224" priority="197">
      <formula>B1="Fire Event"</formula>
    </cfRule>
    <cfRule type="expression" dxfId="223" priority="198">
      <formula>B1="Make Explorer Wait"</formula>
    </cfRule>
  </conditionalFormatting>
  <conditionalFormatting sqref="B89:B99">
    <cfRule type="expression" dxfId="222" priority="176">
      <formula>B89="Fire Event"</formula>
    </cfRule>
    <cfRule type="expression" dxfId="221" priority="177">
      <formula>B89="Navigate to Webpage"</formula>
    </cfRule>
    <cfRule type="expression" dxfId="220" priority="178">
      <formula>B89="Make Explorer Wait"</formula>
    </cfRule>
    <cfRule type="expression" dxfId="219" priority="179">
      <formula>B89="Start Internet Explorer"</formula>
    </cfRule>
    <cfRule type="expression" dxfId="218" priority="180">
      <formula>B89="Select Option"</formula>
    </cfRule>
    <cfRule type="expression" dxfId="217" priority="181">
      <formula>B89="Click Button"</formula>
    </cfRule>
    <cfRule type="expression" dxfId="216" priority="182">
      <formula>B89="Enter Text"</formula>
    </cfRule>
  </conditionalFormatting>
  <conditionalFormatting sqref="J87">
    <cfRule type="expression" dxfId="215" priority="168">
      <formula>OR(B87="Start Internet Explorer",B87="Navigate to Webpage")</formula>
    </cfRule>
  </conditionalFormatting>
  <conditionalFormatting sqref="G87">
    <cfRule type="expression" dxfId="214" priority="161">
      <formula>B87="Select Option"</formula>
    </cfRule>
    <cfRule type="expression" dxfId="213" priority="162">
      <formula>B87="Enter Text"</formula>
    </cfRule>
    <cfRule type="expression" dxfId="212" priority="167">
      <formula>B87="Click Button"</formula>
    </cfRule>
  </conditionalFormatting>
  <conditionalFormatting sqref="AK87">
    <cfRule type="expression" dxfId="211" priority="150">
      <formula>B87="Select Option"</formula>
    </cfRule>
    <cfRule type="expression" dxfId="210" priority="159">
      <formula>B87="Enter Text"</formula>
    </cfRule>
    <cfRule type="expression" dxfId="209" priority="165">
      <formula>B87="Click Button"</formula>
    </cfRule>
  </conditionalFormatting>
  <conditionalFormatting sqref="E87">
    <cfRule type="expression" dxfId="208" priority="163">
      <formula>B87="Select Option"</formula>
    </cfRule>
    <cfRule type="expression" dxfId="207" priority="164">
      <formula>B87="Enter Text"</formula>
    </cfRule>
    <cfRule type="expression" dxfId="206" priority="166">
      <formula>$B87="Click Button"</formula>
    </cfRule>
  </conditionalFormatting>
  <conditionalFormatting sqref="P87">
    <cfRule type="expression" dxfId="205" priority="148">
      <formula>B87="Message Box"</formula>
    </cfRule>
    <cfRule type="expression" dxfId="204" priority="149">
      <formula>B87="Input Box"</formula>
    </cfRule>
    <cfRule type="expression" dxfId="203" priority="160">
      <formula>B87="Enter Text"</formula>
    </cfRule>
  </conditionalFormatting>
  <conditionalFormatting sqref="B87">
    <cfRule type="expression" dxfId="202" priority="152">
      <formula>B87="Fire Event"</formula>
    </cfRule>
    <cfRule type="expression" dxfId="201" priority="153">
      <formula>B87="Navigate to Webpage"</formula>
    </cfRule>
    <cfRule type="expression" dxfId="200" priority="154">
      <formula>B87="Make Explorer Wait"</formula>
    </cfRule>
    <cfRule type="expression" dxfId="199" priority="155">
      <formula>B87="Start Internet Explorer"</formula>
    </cfRule>
    <cfRule type="expression" dxfId="198" priority="156">
      <formula>B87="Select Option"</formula>
    </cfRule>
    <cfRule type="expression" dxfId="197" priority="157">
      <formula>B87="Click Button"</formula>
    </cfRule>
    <cfRule type="expression" dxfId="196" priority="158">
      <formula>B87="Enter Text"</formula>
    </cfRule>
  </conditionalFormatting>
  <conditionalFormatting sqref="BB87">
    <cfRule type="expression" dxfId="195" priority="151">
      <formula>B87="Select Option"</formula>
    </cfRule>
  </conditionalFormatting>
  <conditionalFormatting sqref="N87">
    <cfRule type="expression" dxfId="194" priority="145">
      <formula>B87="Input Box"</formula>
    </cfRule>
    <cfRule type="expression" dxfId="193" priority="146">
      <formula>B87="Fire Event"</formula>
    </cfRule>
    <cfRule type="expression" dxfId="192" priority="147">
      <formula>B87="Make Explorer Wait"</formula>
    </cfRule>
  </conditionalFormatting>
  <conditionalFormatting sqref="J88">
    <cfRule type="expression" dxfId="191" priority="144">
      <formula>OR(B88="Start Internet Explorer",B88="Navigate to Webpage")</formula>
    </cfRule>
  </conditionalFormatting>
  <conditionalFormatting sqref="G88">
    <cfRule type="expression" dxfId="190" priority="137">
      <formula>B88="Select Option"</formula>
    </cfRule>
    <cfRule type="expression" dxfId="189" priority="138">
      <formula>B88="Enter Text"</formula>
    </cfRule>
    <cfRule type="expression" dxfId="188" priority="143">
      <formula>B88="Click Button"</formula>
    </cfRule>
  </conditionalFormatting>
  <conditionalFormatting sqref="AK88">
    <cfRule type="expression" dxfId="187" priority="126">
      <formula>B88="Select Option"</formula>
    </cfRule>
    <cfRule type="expression" dxfId="186" priority="135">
      <formula>B88="Enter Text"</formula>
    </cfRule>
    <cfRule type="expression" dxfId="185" priority="141">
      <formula>B88="Click Button"</formula>
    </cfRule>
  </conditionalFormatting>
  <conditionalFormatting sqref="E88">
    <cfRule type="expression" dxfId="184" priority="139">
      <formula>B88="Select Option"</formula>
    </cfRule>
    <cfRule type="expression" dxfId="183" priority="140">
      <formula>B88="Enter Text"</formula>
    </cfRule>
    <cfRule type="expression" dxfId="182" priority="142">
      <formula>$B88="Click Button"</formula>
    </cfRule>
  </conditionalFormatting>
  <conditionalFormatting sqref="P88">
    <cfRule type="expression" dxfId="181" priority="124">
      <formula>B88="Message Box"</formula>
    </cfRule>
    <cfRule type="expression" dxfId="180" priority="125">
      <formula>B88="Input Box"</formula>
    </cfRule>
    <cfRule type="expression" dxfId="179" priority="136">
      <formula>B88="Enter Text"</formula>
    </cfRule>
  </conditionalFormatting>
  <conditionalFormatting sqref="B88">
    <cfRule type="expression" dxfId="178" priority="128">
      <formula>B88="Fire Event"</formula>
    </cfRule>
    <cfRule type="expression" dxfId="177" priority="129">
      <formula>B88="Navigate to Webpage"</formula>
    </cfRule>
    <cfRule type="expression" dxfId="176" priority="130">
      <formula>B88="Make Explorer Wait"</formula>
    </cfRule>
    <cfRule type="expression" dxfId="175" priority="131">
      <formula>B88="Start Internet Explorer"</formula>
    </cfRule>
    <cfRule type="expression" dxfId="174" priority="132">
      <formula>B88="Select Option"</formula>
    </cfRule>
    <cfRule type="expression" dxfId="173" priority="133">
      <formula>B88="Click Button"</formula>
    </cfRule>
    <cfRule type="expression" dxfId="172" priority="134">
      <formula>B88="Enter Text"</formula>
    </cfRule>
  </conditionalFormatting>
  <conditionalFormatting sqref="BB88">
    <cfRule type="expression" dxfId="171" priority="127">
      <formula>B88="Select Option"</formula>
    </cfRule>
  </conditionalFormatting>
  <conditionalFormatting sqref="N88">
    <cfRule type="expression" dxfId="170" priority="121">
      <formula>B88="Input Box"</formula>
    </cfRule>
    <cfRule type="expression" dxfId="169" priority="122">
      <formula>B88="Fire Event"</formula>
    </cfRule>
    <cfRule type="expression" dxfId="168" priority="123">
      <formula>B88="Make Explorer Wait"</formula>
    </cfRule>
  </conditionalFormatting>
  <conditionalFormatting sqref="J5">
    <cfRule type="expression" dxfId="167" priority="96">
      <formula>OR(B5="Start Internet Explorer",B5="Navigate to Webpage")</formula>
    </cfRule>
  </conditionalFormatting>
  <conditionalFormatting sqref="G5">
    <cfRule type="expression" dxfId="166" priority="89">
      <formula>B5="Select Option"</formula>
    </cfRule>
    <cfRule type="expression" dxfId="165" priority="90">
      <formula>B5="Enter Text"</formula>
    </cfRule>
    <cfRule type="expression" dxfId="164" priority="95">
      <formula>B5="Click Button"</formula>
    </cfRule>
  </conditionalFormatting>
  <conditionalFormatting sqref="AK5">
    <cfRule type="expression" dxfId="163" priority="78">
      <formula>B5="Select Option"</formula>
    </cfRule>
    <cfRule type="expression" dxfId="162" priority="87">
      <formula>B5="Enter Text"</formula>
    </cfRule>
    <cfRule type="expression" dxfId="161" priority="93">
      <formula>B5="Click Button"</formula>
    </cfRule>
  </conditionalFormatting>
  <conditionalFormatting sqref="E5">
    <cfRule type="expression" dxfId="160" priority="91">
      <formula>B5="Select Option"</formula>
    </cfRule>
    <cfRule type="expression" dxfId="159" priority="92">
      <formula>B5="Enter Text"</formula>
    </cfRule>
    <cfRule type="expression" dxfId="158" priority="94">
      <formula>$B5="Click Button"</formula>
    </cfRule>
  </conditionalFormatting>
  <conditionalFormatting sqref="P5">
    <cfRule type="expression" dxfId="157" priority="76">
      <formula>B5="Message Box"</formula>
    </cfRule>
    <cfRule type="expression" dxfId="156" priority="77">
      <formula>B5="Input Box"</formula>
    </cfRule>
    <cfRule type="expression" dxfId="155" priority="88">
      <formula>B5="Enter Text"</formula>
    </cfRule>
  </conditionalFormatting>
  <conditionalFormatting sqref="B5">
    <cfRule type="expression" dxfId="154" priority="80">
      <formula>B5="Fire Event"</formula>
    </cfRule>
    <cfRule type="expression" dxfId="153" priority="81">
      <formula>B5="Navigate to Webpage"</formula>
    </cfRule>
    <cfRule type="expression" dxfId="152" priority="82">
      <formula>B5="Make Explorer Wait"</formula>
    </cfRule>
    <cfRule type="expression" dxfId="151" priority="83">
      <formula>B5="Start Internet Explorer"</formula>
    </cfRule>
    <cfRule type="expression" dxfId="150" priority="84">
      <formula>B5="Select Option"</formula>
    </cfRule>
    <cfRule type="expression" dxfId="149" priority="85">
      <formula>B5="Click Button"</formula>
    </cfRule>
    <cfRule type="expression" dxfId="148" priority="86">
      <formula>B5="Enter Text"</formula>
    </cfRule>
  </conditionalFormatting>
  <conditionalFormatting sqref="BB5">
    <cfRule type="expression" dxfId="147" priority="79">
      <formula>B5="Select Option"</formula>
    </cfRule>
  </conditionalFormatting>
  <conditionalFormatting sqref="N5">
    <cfRule type="expression" dxfId="146" priority="73">
      <formula>B5="Input Box"</formula>
    </cfRule>
    <cfRule type="expression" dxfId="145" priority="74">
      <formula>B5="Fire Event"</formula>
    </cfRule>
    <cfRule type="expression" dxfId="144" priority="75">
      <formula>B5="Make Explorer Wait"</formula>
    </cfRule>
  </conditionalFormatting>
  <conditionalFormatting sqref="J4">
    <cfRule type="expression" dxfId="143" priority="72">
      <formula>OR(B4="Start Internet Explorer",B4="Navigate to Webpage")</formula>
    </cfRule>
  </conditionalFormatting>
  <conditionalFormatting sqref="G4">
    <cfRule type="expression" dxfId="142" priority="65">
      <formula>B4="Select Option"</formula>
    </cfRule>
    <cfRule type="expression" dxfId="141" priority="66">
      <formula>B4="Enter Text"</formula>
    </cfRule>
    <cfRule type="expression" dxfId="140" priority="71">
      <formula>B4="Click Button"</formula>
    </cfRule>
  </conditionalFormatting>
  <conditionalFormatting sqref="AK4">
    <cfRule type="expression" dxfId="139" priority="54">
      <formula>B4="Select Option"</formula>
    </cfRule>
    <cfRule type="expression" dxfId="138" priority="63">
      <formula>B4="Enter Text"</formula>
    </cfRule>
    <cfRule type="expression" dxfId="137" priority="69">
      <formula>B4="Click Button"</formula>
    </cfRule>
  </conditionalFormatting>
  <conditionalFormatting sqref="E4">
    <cfRule type="expression" dxfId="136" priority="67">
      <formula>B4="Select Option"</formula>
    </cfRule>
    <cfRule type="expression" dxfId="135" priority="68">
      <formula>B4="Enter Text"</formula>
    </cfRule>
    <cfRule type="expression" dxfId="134" priority="70">
      <formula>$B4="Click Button"</formula>
    </cfRule>
  </conditionalFormatting>
  <conditionalFormatting sqref="P4">
    <cfRule type="expression" dxfId="133" priority="52">
      <formula>B4="Message Box"</formula>
    </cfRule>
    <cfRule type="expression" dxfId="132" priority="53">
      <formula>B4="Input Box"</formula>
    </cfRule>
    <cfRule type="expression" dxfId="131" priority="64">
      <formula>B4="Enter Text"</formula>
    </cfRule>
  </conditionalFormatting>
  <conditionalFormatting sqref="B4">
    <cfRule type="expression" dxfId="130" priority="56">
      <formula>B4="Fire Event"</formula>
    </cfRule>
    <cfRule type="expression" dxfId="129" priority="57">
      <formula>B4="Navigate to Webpage"</formula>
    </cfRule>
    <cfRule type="expression" dxfId="128" priority="58">
      <formula>B4="Make Explorer Wait"</formula>
    </cfRule>
    <cfRule type="expression" dxfId="127" priority="59">
      <formula>B4="Start Internet Explorer"</formula>
    </cfRule>
    <cfRule type="expression" dxfId="126" priority="60">
      <formula>B4="Select Option"</formula>
    </cfRule>
    <cfRule type="expression" dxfId="125" priority="61">
      <formula>B4="Click Button"</formula>
    </cfRule>
    <cfRule type="expression" dxfId="124" priority="62">
      <formula>B4="Enter Text"</formula>
    </cfRule>
  </conditionalFormatting>
  <conditionalFormatting sqref="BB4">
    <cfRule type="expression" dxfId="123" priority="55">
      <formula>B4="Select Option"</formula>
    </cfRule>
  </conditionalFormatting>
  <conditionalFormatting sqref="N4">
    <cfRule type="expression" dxfId="122" priority="49">
      <formula>B4="Input Box"</formula>
    </cfRule>
    <cfRule type="expression" dxfId="121" priority="50">
      <formula>B4="Fire Event"</formula>
    </cfRule>
    <cfRule type="expression" dxfId="120" priority="51">
      <formula>B4="Make Explorer Wait"</formula>
    </cfRule>
  </conditionalFormatting>
  <conditionalFormatting sqref="J68">
    <cfRule type="expression" dxfId="119" priority="48">
      <formula>OR(B68="Start Internet Explorer",B68="Navigate to Webpage")</formula>
    </cfRule>
  </conditionalFormatting>
  <conditionalFormatting sqref="G68">
    <cfRule type="expression" dxfId="118" priority="41">
      <formula>B68="Select Option"</formula>
    </cfRule>
    <cfRule type="expression" dxfId="117" priority="42">
      <formula>B68="Enter Text"</formula>
    </cfRule>
    <cfRule type="expression" dxfId="116" priority="47">
      <formula>B68="Click Button"</formula>
    </cfRule>
  </conditionalFormatting>
  <conditionalFormatting sqref="AK68">
    <cfRule type="expression" dxfId="115" priority="37">
      <formula>B68="Select Option"</formula>
    </cfRule>
    <cfRule type="expression" dxfId="114" priority="39">
      <formula>B68="Enter Text"</formula>
    </cfRule>
    <cfRule type="expression" dxfId="113" priority="45">
      <formula>B68="Click Button"</formula>
    </cfRule>
  </conditionalFormatting>
  <conditionalFormatting sqref="E68">
    <cfRule type="expression" dxfId="112" priority="43">
      <formula>B68="Select Option"</formula>
    </cfRule>
    <cfRule type="expression" dxfId="111" priority="44">
      <formula>B68="Enter Text"</formula>
    </cfRule>
    <cfRule type="expression" dxfId="110" priority="46">
      <formula>$B68="Click Button"</formula>
    </cfRule>
  </conditionalFormatting>
  <conditionalFormatting sqref="P68">
    <cfRule type="expression" dxfId="109" priority="35">
      <formula>B68="Message Box"</formula>
    </cfRule>
    <cfRule type="expression" dxfId="108" priority="36">
      <formula>B68="Input Box"</formula>
    </cfRule>
    <cfRule type="expression" dxfId="107" priority="40">
      <formula>B68="Enter Text"</formula>
    </cfRule>
  </conditionalFormatting>
  <conditionalFormatting sqref="BB68">
    <cfRule type="expression" dxfId="106" priority="38">
      <formula>B68="Select Option"</formula>
    </cfRule>
  </conditionalFormatting>
  <conditionalFormatting sqref="N68">
    <cfRule type="expression" dxfId="105" priority="32">
      <formula>B68="Input Box"</formula>
    </cfRule>
    <cfRule type="expression" dxfId="104" priority="33">
      <formula>B68="Fire Event"</formula>
    </cfRule>
    <cfRule type="expression" dxfId="103" priority="34">
      <formula>B68="Make Explorer Wait"</formula>
    </cfRule>
  </conditionalFormatting>
  <conditionalFormatting sqref="B68">
    <cfRule type="expression" dxfId="102" priority="25">
      <formula>B68="Fire Event"</formula>
    </cfRule>
    <cfRule type="expression" dxfId="101" priority="26">
      <formula>B68="Navigate to Webpage"</formula>
    </cfRule>
    <cfRule type="expression" dxfId="100" priority="27">
      <formula>B68="Make Explorer Wait"</formula>
    </cfRule>
    <cfRule type="expression" dxfId="99" priority="28">
      <formula>B68="Start Internet Explorer"</formula>
    </cfRule>
    <cfRule type="expression" dxfId="98" priority="29">
      <formula>B68="Select Option"</formula>
    </cfRule>
    <cfRule type="expression" dxfId="97" priority="30">
      <formula>B68="Click Button"</formula>
    </cfRule>
    <cfRule type="expression" dxfId="96" priority="31">
      <formula>B68="Enter Text"</formula>
    </cfRule>
  </conditionalFormatting>
  <conditionalFormatting sqref="J6:J67">
    <cfRule type="expression" dxfId="95" priority="24">
      <formula>OR(B6="Start Internet Explorer",B6="Navigate to Webpage")</formula>
    </cfRule>
  </conditionalFormatting>
  <conditionalFormatting sqref="G6:G67">
    <cfRule type="expression" dxfId="94" priority="17">
      <formula>B6="Select Option"</formula>
    </cfRule>
    <cfRule type="expression" dxfId="93" priority="18">
      <formula>B6="Enter Text"</formula>
    </cfRule>
    <cfRule type="expression" dxfId="92" priority="23">
      <formula>B6="Click Button"</formula>
    </cfRule>
  </conditionalFormatting>
  <conditionalFormatting sqref="AK6:AK67">
    <cfRule type="expression" dxfId="91" priority="13">
      <formula>B6="Select Option"</formula>
    </cfRule>
    <cfRule type="expression" dxfId="90" priority="15">
      <formula>B6="Enter Text"</formula>
    </cfRule>
    <cfRule type="expression" dxfId="89" priority="21">
      <formula>B6="Click Button"</formula>
    </cfRule>
  </conditionalFormatting>
  <conditionalFormatting sqref="E6:E67">
    <cfRule type="expression" dxfId="88" priority="19">
      <formula>B6="Select Option"</formula>
    </cfRule>
    <cfRule type="expression" dxfId="87" priority="20">
      <formula>B6="Enter Text"</formula>
    </cfRule>
    <cfRule type="expression" dxfId="86" priority="22">
      <formula>$B6="Click Button"</formula>
    </cfRule>
  </conditionalFormatting>
  <conditionalFormatting sqref="P6:P67">
    <cfRule type="expression" dxfId="85" priority="11">
      <formula>B6="Message Box"</formula>
    </cfRule>
    <cfRule type="expression" dxfId="84" priority="12">
      <formula>B6="Input Box"</formula>
    </cfRule>
    <cfRule type="expression" dxfId="83" priority="16">
      <formula>B6="Enter Text"</formula>
    </cfRule>
  </conditionalFormatting>
  <conditionalFormatting sqref="BB6:BB67">
    <cfRule type="expression" dxfId="82" priority="14">
      <formula>B6="Select Option"</formula>
    </cfRule>
  </conditionalFormatting>
  <conditionalFormatting sqref="N6:N67">
    <cfRule type="expression" dxfId="81" priority="8">
      <formula>B6="Input Box"</formula>
    </cfRule>
    <cfRule type="expression" dxfId="80" priority="9">
      <formula>B6="Fire Event"</formula>
    </cfRule>
    <cfRule type="expression" dxfId="79" priority="10">
      <formula>B6="Make Explorer Wait"</formula>
    </cfRule>
  </conditionalFormatting>
  <conditionalFormatting sqref="B6:B67">
    <cfRule type="expression" dxfId="78" priority="1">
      <formula>B6="Fire Event"</formula>
    </cfRule>
    <cfRule type="expression" dxfId="77" priority="2">
      <formula>B6="Navigate to Webpage"</formula>
    </cfRule>
    <cfRule type="expression" dxfId="76" priority="3">
      <formula>B6="Make Explorer Wait"</formula>
    </cfRule>
    <cfRule type="expression" dxfId="75" priority="4">
      <formula>B6="Start Internet Explorer"</formula>
    </cfRule>
    <cfRule type="expression" dxfId="74" priority="5">
      <formula>B6="Select Option"</formula>
    </cfRule>
    <cfRule type="expression" dxfId="73" priority="6">
      <formula>B6="Click Button"</formula>
    </cfRule>
    <cfRule type="expression" dxfId="72" priority="7">
      <formula>B6="Enter Text"</formula>
    </cfRule>
  </conditionalFormatting>
  <dataValidations xWindow="1729" yWindow="753" count="17">
    <dataValidation type="custom" allowBlank="1" showInputMessage="1" showErrorMessage="1" sqref="E2">
      <formula1>#REF!=SUBSTITUTE(#REF!," ","")</formula1>
    </dataValidation>
    <dataValidation type="custom" allowBlank="1" showInputMessage="1" showErrorMessage="1" sqref="E1">
      <formula1>#REF!=SUBSTITUTE(#REF!," ","")</formula1>
    </dataValidation>
    <dataValidation allowBlank="1" showInputMessage="1" showErrorMessage="1" promptTitle="How To" prompt="In your web browser, right click on the inside the button/text box, click on &quot;Inspect Element&quot;. You may need to do this twice. Once the code for that element appears, right click the code and click Copy, then paste this below by double-clicking the cell." sqref="G3:H3"/>
    <dataValidation allowBlank="1" showInputMessage="1" showErrorMessage="1" promptTitle="Reason" prompt="The title enables you to track the purpose for each action selected. For example - if you're selecting a button called &quot;Login&quot;, title the action &quot;ClickLogin&quot; so you know what that bit of code does." sqref="E3"/>
    <dataValidation allowBlank="1" showInputMessage="1" showErrorMessage="1" promptTitle="How To" prompt="Copy the web address from your browser and paste it below, or type the web address in if you have it memorized." sqref="J3"/>
    <dataValidation allowBlank="1" showInputMessage="1" showErrorMessage="1" promptTitle="How To" prompt="Enter your variable name below. Variable names may not have spaces. Also, if you enter a variable name when you should have entered text, the variable name will be used instead of the text. Do not enter anything in this field unless required." sqref="N3"/>
    <dataValidation allowBlank="1" showInputMessage="1" showErrorMessage="1" promptTitle="How To" prompt="Literally just write the text below, what else did you expect?" sqref="P3"/>
    <dataValidation allowBlank="1" showInputMessage="1" showErrorMessage="1" promptTitle="Selector" prompt="Selectors are automatically parsed from text you paste in the HTML field. Once that HTML is pasted, click the drop down arrow in the selector field and choose a selector. Try to choose the most specific selector available, Ele.IDs are usually good choices" sqref="AK3"/>
    <dataValidation allowBlank="1" showInputMessage="1" showErrorMessage="1" promptTitle="How To - " prompt="2nd Selectors are only required if your first selector isn't specific enough. For instance, if there are two buttons called &quot;Select&quot; on the page, and your first selector identifies a button with the title &quot;Select&quot;, you may need a second selector." sqref="AL3"/>
    <dataValidation allowBlank="1" showInputMessage="1" showErrorMessage="1" promptTitle="How To" prompt="Look in the HTML for the drop down you're accessing, it should have text like &quot;&lt;option&gt;&lt;/option&gt;&lt;option value=&quot;TEXT2&quot;&gt;TEXT&lt;/option&gt;&quot;. You'll want to write down the text after Option Value, without the quotes. In this example, Text2." sqref="BB3"/>
    <dataValidation allowBlank="1" showInputMessage="1" showErrorMessage="1" promptTitle="How To - Usually Not Needed" prompt="If you need to select more than one item from the drop down, use this with the same instructions as Selection 1. If you need more then two, you can unhide columns AV--&gt;BK, then rehide all yellow header columns. Current max drop-down selections = 5. " sqref="BD3"/>
    <dataValidation allowBlank="1" showInputMessage="1" showErrorMessage="1" promptTitle="Explanation" prompt="This shows you the code after it runs through all of your updates. You don't need to look at it, but it can be useful for troubleshooting any errors that show up after running your code." sqref="BR3"/>
    <dataValidation allowBlank="1" showInputMessage="1" showErrorMessage="1" promptTitle="How To" prompt="Begin by selecting an action in the below cell. Start with the &quot;Create Instance - Internet Explorer&quot; option. After selecting an action, the column to the right will tell you what inputs that action requires, in this case it will be the web address." sqref="B3"/>
    <dataValidation allowBlank="1" showInputMessage="1" showErrorMessage="1" promptTitle="Explanation" prompt="The comments below list items you need to fill in according to the action you select. Find the required input in the header section, for instance if &quot;Title&quot; is listed, then enter a title in the &quot;Input Title&quot; column." sqref="D3"/>
    <dataValidation type="custom" allowBlank="1" showInputMessage="1" showErrorMessage="1" sqref="N4:N99">
      <formula1>N4=SUBSTITUTE(N4," ","")</formula1>
    </dataValidation>
    <dataValidation type="custom" allowBlank="1" showInputMessage="1" showErrorMessage="1" sqref="E4:E1048576">
      <formula1>NOT(ISNUMBER(SEARCH(" ",E4)))</formula1>
    </dataValidation>
    <dataValidation type="list" allowBlank="1" showInputMessage="1" showErrorMessage="1" sqref="AN4:AN99 AK4:AL99">
      <formula1>$AB4:$AI4</formula1>
    </dataValidation>
  </dataValidations>
  <pageMargins left="0.7" right="0.7" top="0.75" bottom="0.75" header="0.3" footer="0.3"/>
  <pageSetup orientation="portrait" r:id="rId1"/>
  <ignoredErrors>
    <ignoredError sqref="AK87 AK5 AK69:AK85" unlockedFormula="1"/>
  </ignoredErrors>
  <drawing r:id="rId2"/>
  <legacyDrawing r:id="rId3"/>
  <tableParts count="1">
    <tablePart r:id="rId4"/>
  </tableParts>
  <extLst>
    <ext xmlns:x14="http://schemas.microsoft.com/office/spreadsheetml/2009/9/main" uri="{CCE6A557-97BC-4b89-ADB6-D9C93CAAB3DF}">
      <x14:dataValidations xmlns:xm="http://schemas.microsoft.com/office/excel/2006/main" xWindow="1729" yWindow="753" count="1">
        <x14:dataValidation type="list" allowBlank="1" showInputMessage="1" showErrorMessage="1">
          <x14:formula1>
            <xm:f>TemplateCode!$A$2:$A$96</xm:f>
          </x14:formula1>
          <xm:sqref>B4:B1048576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A19125A-5D43-46D3-B82E-8FD03C3295A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TemplateCode</vt:lpstr>
      <vt:lpstr>MacroCreation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Steven Buri</dc:creator>
  <cp:lastModifiedBy>Steven Buri (TMNA)</cp:lastModifiedBy>
  <cp:lastPrinted>2017-10-01T00:00:47Z</cp:lastPrinted>
  <dcterms:created xsi:type="dcterms:W3CDTF">2016-11-12T22:47:42Z</dcterms:created>
  <dcterms:modified xsi:type="dcterms:W3CDTF">2018-05-17T16:26:21Z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b673e0f8-7281-4460-9758-9eb15e574cd8</vt:lpwstr>
  </property>
  <property fmtid="{D5CDD505-2E9C-101B-9397-08002B2CF9AE}" pid="3" name="ToyotaClassification">
    <vt:lpwstr>PROTECTED</vt:lpwstr>
  </property>
  <property fmtid="{D5CDD505-2E9C-101B-9397-08002B2CF9AE}" pid="4" name="ToyotaVisualMarkings">
    <vt:lpwstr>Top Left</vt:lpwstr>
  </property>
</Properties>
</file>